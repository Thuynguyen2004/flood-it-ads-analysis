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5"/>
    <sheet state="visible" name="Scenarios" sheetId="2" r:id="rId6"/>
    <sheet state="visible" name="Model" sheetId="3" r:id="rId7"/>
    <sheet state="visible" name="Retention" sheetId="4" r:id="rId8"/>
    <sheet state="visible" name="Sensitivity" sheetId="5" r:id="rId9"/>
    <sheet state="visible" name="Dashboard_Ads" sheetId="6" r:id="rId10"/>
  </sheets>
  <definedNames/>
  <calcPr/>
</workbook>
</file>

<file path=xl/sharedStrings.xml><?xml version="1.0" encoding="utf-8"?>
<sst xmlns="http://schemas.openxmlformats.org/spreadsheetml/2006/main" count="100" uniqueCount="84">
  <si>
    <t>Day</t>
  </si>
  <si>
    <t>Cohort users</t>
  </si>
  <si>
    <t>Active users</t>
  </si>
  <si>
    <t>Activity rate</t>
  </si>
  <si>
    <t>A revenue USD</t>
  </si>
  <si>
    <t>B revenue USD</t>
  </si>
  <si>
    <t>C revenue USD</t>
  </si>
  <si>
    <t>D revenue USD</t>
  </si>
  <si>
    <t>Số người dùng mới mô phỏng</t>
  </si>
  <si>
    <t>A activity adjusted</t>
  </si>
  <si>
    <t>B activity adjusted</t>
  </si>
  <si>
    <t>C activity adjusted</t>
  </si>
  <si>
    <t>D activity adjusted</t>
  </si>
  <si>
    <t>A adjusted revenue USD</t>
  </si>
  <si>
    <t>B adjusted revenue USD</t>
  </si>
  <si>
    <t>C adjusted revenue USD</t>
  </si>
  <si>
    <t>D adjusted revenue USD</t>
  </si>
  <si>
    <t>A revenue impact x2</t>
  </si>
  <si>
    <t>B revenue impact x2</t>
  </si>
  <si>
    <t>C revenue impact x2</t>
  </si>
  <si>
    <t>D revenue impact x2</t>
  </si>
  <si>
    <t>Scenario</t>
  </si>
  <si>
    <t>Parameter</t>
  </si>
  <si>
    <t>Value</t>
  </si>
  <si>
    <t>Sessions/day</t>
  </si>
  <si>
    <t>Interstitial requests/session</t>
  </si>
  <si>
    <t>Source</t>
  </si>
  <si>
    <t>Rewarded requests/session</t>
  </si>
  <si>
    <t>Average daily active users</t>
  </si>
  <si>
    <t>Interstitial impressions/day</t>
  </si>
  <si>
    <t>Description</t>
  </si>
  <si>
    <t>Rewarded impressions/day</t>
  </si>
  <si>
    <t>Interstitial revenue USD/day</t>
  </si>
  <si>
    <t>Mức giảm hoạt động tương đối mỗi ngày tuổi</t>
  </si>
  <si>
    <t>Rewarded revenue USD/day</t>
  </si>
  <si>
    <t>Total revenue USD/day</t>
  </si>
  <si>
    <t>Ad ARPDAU USD</t>
  </si>
  <si>
    <t>A - Baseline</t>
  </si>
  <si>
    <t>Dataset - theo bộ lọc phiên</t>
  </si>
  <si>
    <t>Sessions per active user per day</t>
  </si>
  <si>
    <t>Chỉ quảng cáo thưởng tự nguyện</t>
  </si>
  <si>
    <t>Dataset - phiên ước lượng</t>
  </si>
  <si>
    <t>Interstitial eCPM (USD)</t>
  </si>
  <si>
    <t>Giả định mô phỏng - không phải dữ liệu thực tế</t>
  </si>
  <si>
    <t>B - Light</t>
  </si>
  <si>
    <t>Rewarded eCPM (USD)</t>
  </si>
  <si>
    <t>Quảng cáo xen kẽ ở tần suất thấp</t>
  </si>
  <si>
    <t>Fill rate</t>
  </si>
  <si>
    <t>C - Aggressive</t>
  </si>
  <si>
    <t>Show rate</t>
  </si>
  <si>
    <t>Quảng cáo xen kẽ ở tần suất cao</t>
  </si>
  <si>
    <t>D - Mixed</t>
  </si>
  <si>
    <t>Kịch bản tần suất trung gian để so sánh</t>
  </si>
  <si>
    <t>Tất cả tần suất quảng cáo là giả định mô phỏng, không được tính từ dữ liệu Flood-It.</t>
  </si>
  <si>
    <t>scenario</t>
  </si>
  <si>
    <t>daily_revenue_usd</t>
  </si>
  <si>
    <t>Doanh thu mô phỏng với DAU và số phiên giữ nguyên giữa các kịch bản; chưa tính tác động quảng cáo đến hành vi và retention.</t>
  </si>
  <si>
    <t>ad_arpdau_usd</t>
  </si>
  <si>
    <t>revenue_30d_base_usd</t>
  </si>
  <si>
    <t>revenue_30d_adjusted_usd</t>
  </si>
  <si>
    <t>revenue_30d_impact_x2_usd</t>
  </si>
  <si>
    <t>Điều kiện</t>
  </si>
  <si>
    <t>Hệ số eCPM</t>
  </si>
  <si>
    <t>Cơ sở</t>
  </si>
  <si>
    <t>eCPM giảm 30%</t>
  </si>
  <si>
    <t>Fill rate còn 70%</t>
  </si>
  <si>
    <t>Show rate còn 80%</t>
  </si>
  <si>
    <t>Đơn vị kết quả: USD/ngày. Mỗi dòng thay đổi một yếu tố và giữ nguyên DAU, số phiên, tần suất yêu cầu quảng cáo. Hệ số eCPM áp dụng đồng thời cho cả hai loại quảng cáo. Chưa tính tác động đến retention.</t>
  </si>
  <si>
    <t>Kịch bản</t>
  </si>
  <si>
    <t>Doanh thu cơ sở 30D USD</t>
  </si>
  <si>
    <t>Doanh thu điều chỉnh 30D USD</t>
  </si>
  <si>
    <t>Mức giảm USD</t>
  </si>
  <si>
    <t>Tỷ lệ giảm</t>
  </si>
  <si>
    <t>Doanh thu mô phỏng D0–D29 trên 1.000 người dùng mới. Kết quả phụ thuộc vào giả định eCPM, tần suất quảng cáo và mức giảm hoạt động; không phải kết quả A/B testing thực tế.</t>
  </si>
  <si>
    <t>Tác động đến hoạt động</t>
  </si>
  <si>
    <t>Không điều chỉnh</t>
  </si>
  <si>
    <t>Mức giả định ban đầu</t>
  </si>
  <si>
    <t>Mức giảm mạnh gấp đôi</t>
  </si>
  <si>
    <t>Đơn vị: USD trên 1.000 người dùng mới trong D0–D29. Phép thử x2 nhân đôi mức giảm tương đối mỗi ngày tuổi; giữ nguyên ARPDAU và các đầu vào quảng cáo.</t>
  </si>
  <si>
    <t>Với các giả định đã chọn, kịch bản C có doanh thu mô phỏng cao nhất ở cả ba mức tác động. Khi mức giảm hoạt động tăng gấp đôi, doanh thu C giảm từ 49,17 xuống 35,91 USD trên 1.000 người dùng mới. Kết quả chưa đủ để khuyến nghị triển khai nếu chưa có thử nghiệm thực tế.</t>
  </si>
  <si>
    <t>Tổng doanh thu</t>
  </si>
  <si>
    <t>Tổng sau điều chỉnh</t>
  </si>
  <si>
    <t>Doanh thu mô phỏng trên 1.000 người dùng mới. Dùng đường hoạt động quan sát từ 3.008 mã có first_open và đủ cửa sổ D0–D29. Giả định ARPDAU không đổi theo ngày tuổi và đường hoạt động giống nhau giữa các kịch bản. Chưa tính tác động quảng cáo đến retention.</t>
  </si>
  <si>
    <t>Đường hoạt động điều chỉnh là giả định: tỷ lệ cơ sở × (1 − mức giảm)^ngày tuổi. Giữ nguyên D0 và ARPDAU từng kịch bản. Chưa mô phỏng tác động quảng cáo đến số phiên hoặc hành vi trong ngày.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</si>
</sst>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0"/>
  </numFmts>
  <fonts count="3">
    <font>
      <sz val="10.0"/>
      <color rgb="FF000000"/>
      <name val="Arial"/>
      <scheme val="minor"/>
    </font>
    <font>
      <color theme="1"/>
      <name val="Arial"/>
    </font>
    <font>
      <color theme="1"/>
      <name val="Arial"/>
      <scheme val="minor"/>
    </font>
  </fonts>
  <fills count="5">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1" fillId="3" fontId="1" numFmtId="0" xfId="0" applyAlignment="1" applyBorder="1" applyFill="1" applyFont="1">
      <alignment readingOrder="0" shrinkToFit="0" wrapText="1"/>
    </xf>
    <xf borderId="1" fillId="4" fontId="2" numFmtId="0" xfId="0" applyAlignment="1" applyBorder="1" applyFill="1" applyFont="1">
      <alignment readingOrder="0" shrinkToFit="0" wrapText="1"/>
    </xf>
    <xf borderId="1" fillId="0" fontId="1" numFmtId="0" xfId="0" applyAlignment="1" applyBorder="1" applyFont="1">
      <alignment readingOrder="0" shrinkToFit="0" wrapText="1"/>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1" fillId="0" fontId="1" numFmtId="0" xfId="0" applyAlignment="1" applyBorder="1" applyFont="1">
      <alignment shrinkToFit="0"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1"/>
    </xf>
    <xf borderId="0" fillId="0" fontId="1" numFmtId="165" xfId="0" applyAlignment="1" applyFont="1" applyNumberFormat="1">
      <alignment shrinkToFit="0" vertical="center" wrapText="1"/>
    </xf>
    <xf borderId="0" fillId="0" fontId="1" numFmtId="0" xfId="0" applyAlignment="1" applyFont="1">
      <alignment shrinkToFit="0" vertical="center" wrapText="0"/>
    </xf>
    <xf borderId="0" fillId="0" fontId="1" numFmtId="9" xfId="0" applyAlignment="1" applyFont="1" applyNumberFormat="1">
      <alignment readingOrder="0" shrinkToFit="0" vertical="center" wrapText="1"/>
    </xf>
    <xf borderId="0" fillId="0" fontId="1" numFmtId="9" xfId="0" applyAlignment="1" applyFont="1" applyNumberFormat="1">
      <alignment readingOrder="0" shrinkToFit="0" vertical="center" wrapText="1"/>
    </xf>
    <xf borderId="0" fillId="0" fontId="2" numFmtId="0" xfId="0" applyAlignment="1" applyFont="1">
      <alignment readingOrder="0"/>
    </xf>
    <xf borderId="1" fillId="0" fontId="2" numFmtId="0" xfId="0" applyBorder="1" applyFont="1"/>
    <xf borderId="0" fillId="0" fontId="2" numFmtId="0" xfId="0" applyAlignment="1" applyFont="1">
      <alignment horizontal="left" readingOrder="0" shrinkToFit="0" vertical="center" wrapText="1"/>
    </xf>
    <xf borderId="0" fillId="0" fontId="2" numFmtId="0" xfId="0" applyAlignment="1" applyFont="1">
      <alignment shrinkToFit="0" vertical="center" wrapText="1"/>
    </xf>
    <xf borderId="0" fillId="0" fontId="1" numFmtId="9" xfId="0" applyAlignment="1" applyFont="1" applyNumberFormat="1">
      <alignment shrinkToFit="0" vertical="center" wrapText="1"/>
    </xf>
    <xf borderId="0" fillId="0" fontId="1" numFmtId="0" xfId="0" applyAlignment="1" applyFont="1">
      <alignment shrinkToFit="0" vertical="center" wrapText="1"/>
    </xf>
    <xf borderId="0" fillId="0" fontId="2" numFmtId="0" xfId="0" applyAlignment="1" applyFont="1">
      <alignment readingOrder="0" shrinkToFit="0" wrapText="1"/>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Assumptions-style">
      <tableStyleElement dxfId="1" type="headerRow"/>
      <tableStyleElement dxfId="2" type="firstRowStripe"/>
      <tableStyleElement dxfId="3" type="secondRowStripe"/>
      <tableStyleElement dxfId="4" size="0" type="wholeTable"/>
    </tableStyle>
    <tableStyle count="4" pivot="0" name="Model-style">
      <tableStyleElement dxfId="1" type="headerRow"/>
      <tableStyleElement dxfId="2" type="firstRowStripe"/>
      <tableStyleElement dxfId="3" type="secondRowStripe"/>
      <tableStyleElement dxfId="4" size="0" type="wholeTable"/>
    </tableStyle>
    <tableStyle count="4" pivot="0" name="Scenarios-style">
      <tableStyleElement dxfId="1" type="headerRow"/>
      <tableStyleElement dxfId="2" type="firstRowStripe"/>
      <tableStyleElement dxfId="3" type="secondRowStripe"/>
      <tableStyleElement dxfId="4" size="0" type="wholeTable"/>
    </tableStyle>
    <tableStyle count="4" pivot="0" name="Dashboard_Ads-style">
      <tableStyleElement dxfId="1" type="headerRow"/>
      <tableStyleElement dxfId="2" type="firstRowStripe"/>
      <tableStyleElement dxfId="3" type="secondRowStripe"/>
      <tableStyleElement dxfId="4" size="0" type="wholeTable"/>
    </tableStyle>
    <tableStyle count="4" pivot="0" name="Sensitivity-style">
      <tableStyleElement dxfId="1" type="headerRow"/>
      <tableStyleElement dxfId="2" type="firstRowStripe"/>
      <tableStyleElement dxfId="3" type="secondRowStripe"/>
      <tableStyleElement dxfId="4" size="0" type="wholeTable"/>
    </tableStyle>
    <tableStyle count="4" pivot="0" name="Sensitivity-style 2">
      <tableStyleElement dxfId="1" type="headerRow"/>
      <tableStyleElement dxfId="2" type="firstRowStripe"/>
      <tableStyleElement dxfId="3" type="secondRowStripe"/>
      <tableStyleElement dxfId="4" size="0" type="wholeTable"/>
    </tableStyle>
    <tableStyle count="4" pivot="0" name="Sensitivity-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Doanh thu mô phỏng 30 ngày theo mức tác động</a:t>
            </a:r>
          </a:p>
        </c:rich>
      </c:tx>
      <c:overlay val="0"/>
    </c:title>
    <c:plotArea>
      <c:layout/>
      <c:barChart>
        <c:barDir val="col"/>
        <c:ser>
          <c:idx val="0"/>
          <c:order val="0"/>
          <c:tx>
            <c:strRef>
              <c:f>Sensitivity!$B$19</c:f>
            </c:strRef>
          </c:tx>
          <c:spPr>
            <a:solidFill>
              <a:schemeClr val="accent1"/>
            </a:solidFill>
            <a:ln cmpd="sng">
              <a:noFill/>
            </a:ln>
          </c:spPr>
          <c:invertIfNegative val="0"/>
          <c:cat>
            <c:strRef>
              <c:f>Sensitivity!$A$20:$A$22</c:f>
            </c:strRef>
          </c:cat>
          <c:val>
            <c:numRef>
              <c:f>Sensitivity!$B$20:$B$22</c:f>
              <c:numCache/>
            </c:numRef>
          </c:val>
        </c:ser>
        <c:ser>
          <c:idx val="1"/>
          <c:order val="1"/>
          <c:tx>
            <c:strRef>
              <c:f>Sensitivity!$C$19</c:f>
            </c:strRef>
          </c:tx>
          <c:spPr>
            <a:solidFill>
              <a:schemeClr val="accent2"/>
            </a:solidFill>
            <a:ln cmpd="sng">
              <a:noFill/>
            </a:ln>
          </c:spPr>
          <c:invertIfNegative val="0"/>
          <c:cat>
            <c:strRef>
              <c:f>Sensitivity!$A$20:$A$22</c:f>
            </c:strRef>
          </c:cat>
          <c:val>
            <c:numRef>
              <c:f>Sensitivity!$C$20:$C$22</c:f>
              <c:numCache/>
            </c:numRef>
          </c:val>
        </c:ser>
        <c:ser>
          <c:idx val="2"/>
          <c:order val="2"/>
          <c:tx>
            <c:strRef>
              <c:f>Sensitivity!$D$19</c:f>
            </c:strRef>
          </c:tx>
          <c:spPr>
            <a:solidFill>
              <a:schemeClr val="accent3"/>
            </a:solidFill>
            <a:ln cmpd="sng">
              <a:noFill/>
            </a:ln>
          </c:spPr>
          <c:invertIfNegative val="0"/>
          <c:cat>
            <c:strRef>
              <c:f>Sensitivity!$A$20:$A$22</c:f>
            </c:strRef>
          </c:cat>
          <c:val>
            <c:numRef>
              <c:f>Sensitivity!$D$20:$D$22</c:f>
              <c:numCache/>
            </c:numRef>
          </c:val>
        </c:ser>
        <c:ser>
          <c:idx val="3"/>
          <c:order val="3"/>
          <c:tx>
            <c:strRef>
              <c:f>Sensitivity!$E$19</c:f>
            </c:strRef>
          </c:tx>
          <c:spPr>
            <a:solidFill>
              <a:schemeClr val="accent4"/>
            </a:solidFill>
            <a:ln cmpd="sng">
              <a:noFill/>
            </a:ln>
          </c:spPr>
          <c:invertIfNegative val="0"/>
          <c:cat>
            <c:strRef>
              <c:f>Sensitivity!$A$20:$A$22</c:f>
            </c:strRef>
          </c:cat>
          <c:val>
            <c:numRef>
              <c:f>Sensitivity!$E$20:$E$22</c:f>
              <c:numCache/>
            </c:numRef>
          </c:val>
        </c:ser>
        <c:axId val="406235791"/>
        <c:axId val="1141419864"/>
      </c:barChart>
      <c:catAx>
        <c:axId val="406235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Tác động đến hoạt động</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1419864"/>
      </c:catAx>
      <c:valAx>
        <c:axId val="11414198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406235791"/>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13</xdr:row>
      <xdr:rowOff>133350</xdr:rowOff>
    </xdr:from>
    <xdr:ext cx="5562600" cy="2857500"/>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7" displayName="Bảng_1" name="Bảng_1" id="1">
  <tableColumns count="3">
    <tableColumn name="Parameter" id="1"/>
    <tableColumn name="Value" id="2"/>
    <tableColumn name="Source" id="3"/>
  </tableColumns>
  <tableStyleInfo name="Assumptions-style" showColumnStripes="0" showFirstColumn="1" showLastColumn="1" showRowStripes="1"/>
</table>
</file>

<file path=xl/tables/table2.xml><?xml version="1.0" encoding="utf-8"?>
<table xmlns="http://schemas.openxmlformats.org/spreadsheetml/2006/main" ref="A1:E5" displayName="Bảng_2" name="Bảng_2" id="3">
  <tableColumns count="5">
    <tableColumn name="Scenario" id="1"/>
    <tableColumn name="Interstitial requests/session" id="2"/>
    <tableColumn name="Rewarded requests/session" id="3"/>
    <tableColumn name="Description" id="4"/>
    <tableColumn name="Mức giảm hoạt động tương đối mỗi ngày tuổi" id="5"/>
  </tableColumns>
  <tableStyleInfo name="Scenarios-style" showColumnStripes="0" showFirstColumn="1" showLastColumn="1" showRowStripes="1"/>
</table>
</file>

<file path=xl/tables/table3.xml><?xml version="1.0" encoding="utf-8"?>
<table xmlns="http://schemas.openxmlformats.org/spreadsheetml/2006/main" ref="A1:J5" displayName="Bảng_3" name="Bảng_3" id="2">
  <tableColumns count="10">
    <tableColumn name="Scenario" id="1"/>
    <tableColumn name="Sessions/day" id="2"/>
    <tableColumn name="Interstitial requests/session" id="3"/>
    <tableColumn name="Rewarded requests/session" id="4"/>
    <tableColumn name="Interstitial impressions/day" id="5"/>
    <tableColumn name="Rewarded impressions/day" id="6"/>
    <tableColumn name="Interstitial revenue USD/day" id="7"/>
    <tableColumn name="Rewarded revenue USD/day" id="8"/>
    <tableColumn name="Total revenue USD/day" id="9"/>
    <tableColumn name="Ad ARPDAU USD" id="10"/>
  </tableColumns>
  <tableStyleInfo name="Model-style" showColumnStripes="0" showFirstColumn="1" showLastColumn="1" showRowStripes="1"/>
</table>
</file>

<file path=xl/tables/table4.xml><?xml version="1.0" encoding="utf-8"?>
<table xmlns="http://schemas.openxmlformats.org/spreadsheetml/2006/main" ref="A1:H5" displayName="Bảng_4" name="Bảng_4" id="5">
  <tableColumns count="8">
    <tableColumn name="Điều kiện" id="1"/>
    <tableColumn name="Hệ số eCPM" id="2"/>
    <tableColumn name="Fill rate" id="3"/>
    <tableColumn name="Show rate" id="4"/>
    <tableColumn name="A - Baseline" id="5"/>
    <tableColumn name="B - Light" id="6"/>
    <tableColumn name="C - Aggressive" id="7"/>
    <tableColumn name="D - Mixed" id="8"/>
  </tableColumns>
  <tableStyleInfo name="Sensitivity-style" showColumnStripes="0" showFirstColumn="1" showLastColumn="1" showRowStripes="1"/>
</table>
</file>

<file path=xl/tables/table5.xml><?xml version="1.0" encoding="utf-8"?>
<table xmlns="http://schemas.openxmlformats.org/spreadsheetml/2006/main" ref="A10:E14" displayName="Bảng_6" name="Bảng_6" id="6">
  <tableColumns count="5">
    <tableColumn name="Kịch bản" id="1"/>
    <tableColumn name="Doanh thu cơ sở 30D USD" id="2"/>
    <tableColumn name="Doanh thu điều chỉnh 30D USD" id="3"/>
    <tableColumn name="Mức giảm USD" id="4"/>
    <tableColumn name="Tỷ lệ giảm" id="5"/>
  </tableColumns>
  <tableStyleInfo name="Sensitivity-style 2" showColumnStripes="0" showFirstColumn="1" showLastColumn="1" showRowStripes="1"/>
</table>
</file>

<file path=xl/tables/table6.xml><?xml version="1.0" encoding="utf-8"?>
<table xmlns="http://schemas.openxmlformats.org/spreadsheetml/2006/main" ref="A19:E22" displayName="Bảng_7" name="Bảng_7" id="7">
  <tableColumns count="5">
    <tableColumn name="Tác động đến hoạt động" id="1"/>
    <tableColumn name="A - Baseline" id="2"/>
    <tableColumn name="B - Light" id="3"/>
    <tableColumn name="C - Aggressive" id="4"/>
    <tableColumn name="D - Mixed" id="5"/>
  </tableColumns>
  <tableStyleInfo name="Sensitivity-style 3" showColumnStripes="0" showFirstColumn="1" showLastColumn="1" showRowStripes="1"/>
</table>
</file>

<file path=xl/tables/table7.xml><?xml version="1.0" encoding="utf-8"?>
<table xmlns="http://schemas.openxmlformats.org/spreadsheetml/2006/main" ref="A1:F5" displayName="Bảng_5" name="Bảng_5" id="4">
  <tableColumns count="6">
    <tableColumn name="scenario" id="1"/>
    <tableColumn name="daily_revenue_usd" id="2"/>
    <tableColumn name="ad_arpdau_usd" id="3"/>
    <tableColumn name="revenue_30d_base_usd" id="4"/>
    <tableColumn name="revenue_30d_adjusted_usd" id="5"/>
    <tableColumn name="revenue_30d_impact_x2_usd" id="6"/>
  </tableColumns>
  <tableStyleInfo name="Dashboard_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3" max="3" width="38.63"/>
  </cols>
  <sheetData>
    <row r="1" ht="22.5" customHeight="1">
      <c r="A1" s="8" t="s">
        <v>22</v>
      </c>
      <c r="B1" s="8" t="s">
        <v>23</v>
      </c>
      <c r="C1" s="8" t="s">
        <v>26</v>
      </c>
    </row>
    <row r="2" ht="22.5" customHeight="1">
      <c r="A2" s="11" t="s">
        <v>28</v>
      </c>
      <c r="B2" s="13">
        <f>57609/114</f>
        <v>505.3421053</v>
      </c>
      <c r="C2" s="11" t="s">
        <v>38</v>
      </c>
    </row>
    <row r="3" ht="22.5" customHeight="1">
      <c r="A3" s="11" t="s">
        <v>39</v>
      </c>
      <c r="B3" s="14">
        <f>88495/57609</f>
        <v>1.536131507</v>
      </c>
      <c r="C3" s="11" t="s">
        <v>41</v>
      </c>
    </row>
    <row r="4" ht="22.5" customHeight="1">
      <c r="A4" s="11" t="s">
        <v>42</v>
      </c>
      <c r="B4" s="11">
        <v>3.0</v>
      </c>
      <c r="C4" s="11" t="s">
        <v>43</v>
      </c>
    </row>
    <row r="5" ht="22.5" customHeight="1">
      <c r="A5" s="11" t="s">
        <v>45</v>
      </c>
      <c r="B5" s="11">
        <v>8.0</v>
      </c>
      <c r="C5" s="11" t="s">
        <v>43</v>
      </c>
    </row>
    <row r="6" ht="22.5" customHeight="1">
      <c r="A6" s="11" t="s">
        <v>47</v>
      </c>
      <c r="B6" s="17">
        <v>0.9</v>
      </c>
      <c r="C6" s="11" t="s">
        <v>43</v>
      </c>
    </row>
    <row r="7" ht="22.5" customHeight="1">
      <c r="A7" s="11" t="s">
        <v>49</v>
      </c>
      <c r="B7" s="17">
        <v>0.95</v>
      </c>
      <c r="C7" s="11" t="s">
        <v>43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26.25"/>
    <col customWidth="1" min="3" max="3" width="26.13"/>
    <col customWidth="1" min="4" max="4" width="31.5"/>
  </cols>
  <sheetData>
    <row r="1" ht="22.5" customHeight="1">
      <c r="A1" s="9" t="s">
        <v>21</v>
      </c>
      <c r="B1" s="9" t="s">
        <v>25</v>
      </c>
      <c r="C1" s="9" t="s">
        <v>27</v>
      </c>
      <c r="D1" s="9" t="s">
        <v>30</v>
      </c>
      <c r="E1" s="12" t="s">
        <v>33</v>
      </c>
    </row>
    <row r="2" ht="22.5" customHeight="1">
      <c r="A2" s="11" t="s">
        <v>37</v>
      </c>
      <c r="B2" s="11">
        <v>0.0</v>
      </c>
      <c r="C2" s="11">
        <v>0.3</v>
      </c>
      <c r="D2" s="11" t="s">
        <v>40</v>
      </c>
      <c r="E2" s="16">
        <v>0.0</v>
      </c>
    </row>
    <row r="3" ht="22.5" customHeight="1">
      <c r="A3" s="11" t="s">
        <v>44</v>
      </c>
      <c r="B3" s="11">
        <v>1.0</v>
      </c>
      <c r="C3" s="11">
        <v>0.5</v>
      </c>
      <c r="D3" s="11" t="s">
        <v>46</v>
      </c>
      <c r="E3" s="16">
        <v>0.01</v>
      </c>
    </row>
    <row r="4" ht="22.5" customHeight="1">
      <c r="A4" s="11" t="s">
        <v>48</v>
      </c>
      <c r="B4" s="11">
        <v>3.0</v>
      </c>
      <c r="C4" s="11">
        <v>0.8</v>
      </c>
      <c r="D4" s="11" t="s">
        <v>50</v>
      </c>
      <c r="E4" s="16">
        <v>0.04</v>
      </c>
    </row>
    <row r="5" ht="22.5" customHeight="1">
      <c r="A5" s="11" t="s">
        <v>51</v>
      </c>
      <c r="B5" s="11">
        <v>1.5</v>
      </c>
      <c r="C5" s="11">
        <v>0.7</v>
      </c>
      <c r="D5" s="11" t="s">
        <v>52</v>
      </c>
      <c r="E5" s="16">
        <v>0.02</v>
      </c>
    </row>
    <row r="7">
      <c r="A7" s="18" t="s">
        <v>53</v>
      </c>
    </row>
  </sheetData>
  <mergeCells count="1">
    <mergeCell ref="A7:C7"/>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5.5"/>
    <col customWidth="1" min="3" max="3" width="26.25"/>
    <col customWidth="1" min="4" max="4" width="26.13"/>
    <col customWidth="1" min="5" max="6" width="25.75"/>
    <col customWidth="1" min="7" max="7" width="26.13"/>
    <col customWidth="1" min="8" max="8" width="26.0"/>
    <col customWidth="1" min="9" max="9" width="22.38"/>
    <col customWidth="1" min="10" max="10" width="17.88"/>
  </cols>
  <sheetData>
    <row r="1" ht="22.5" customHeight="1">
      <c r="A1" s="7" t="s">
        <v>21</v>
      </c>
      <c r="B1" s="7" t="s">
        <v>24</v>
      </c>
      <c r="C1" s="7" t="s">
        <v>25</v>
      </c>
      <c r="D1" s="7" t="s">
        <v>27</v>
      </c>
      <c r="E1" s="7" t="s">
        <v>29</v>
      </c>
      <c r="F1" s="7" t="s">
        <v>31</v>
      </c>
      <c r="G1" s="7" t="s">
        <v>32</v>
      </c>
      <c r="H1" s="7" t="s">
        <v>34</v>
      </c>
      <c r="I1" s="7" t="s">
        <v>35</v>
      </c>
      <c r="J1" s="7" t="s">
        <v>36</v>
      </c>
    </row>
    <row r="2" ht="22.5" customHeight="1">
      <c r="A2" s="15" t="str">
        <f>Scenarios!A2</f>
        <v>A - Baseline</v>
      </c>
      <c r="B2" s="15">
        <f>Assumptions!$B$2*Assumptions!$B$3</f>
        <v>776.2719298</v>
      </c>
      <c r="C2" s="15">
        <f>Scenarios!B2</f>
        <v>0</v>
      </c>
      <c r="D2" s="15">
        <f>Scenarios!C2</f>
        <v>0.3</v>
      </c>
      <c r="E2" s="15">
        <f>B2*C2*Assumptions!$B$6*Assumptions!$B$7</f>
        <v>0</v>
      </c>
      <c r="F2" s="15">
        <f>B2*D2*Assumptions!$B$6*Assumptions!$B$7</f>
        <v>199.11375</v>
      </c>
      <c r="G2" s="15">
        <f>E2*Assumptions!$B$4/1000</f>
        <v>0</v>
      </c>
      <c r="H2" s="15">
        <f>F2*Assumptions!$B$5/1000</f>
        <v>1.59291</v>
      </c>
      <c r="I2" s="15">
        <f t="shared" ref="I2:I5" si="1">G2+H2</f>
        <v>1.59291</v>
      </c>
      <c r="J2" s="15">
        <f>I2/Assumptions!$B$2</f>
        <v>0.003152141853</v>
      </c>
    </row>
    <row r="3" ht="22.5" customHeight="1">
      <c r="A3" s="15" t="str">
        <f>Scenarios!A3</f>
        <v>B - Light</v>
      </c>
      <c r="B3" s="15">
        <f>Assumptions!$B$2*Assumptions!$B$3</f>
        <v>776.2719298</v>
      </c>
      <c r="C3" s="15">
        <f>Scenarios!B3</f>
        <v>1</v>
      </c>
      <c r="D3" s="15">
        <f>Scenarios!C3</f>
        <v>0.5</v>
      </c>
      <c r="E3" s="15">
        <f>B3*C3*Assumptions!$B$6*Assumptions!$B$7</f>
        <v>663.7125</v>
      </c>
      <c r="F3" s="15">
        <f>B3*D3*Assumptions!$B$6*Assumptions!$B$7</f>
        <v>331.85625</v>
      </c>
      <c r="G3" s="15">
        <f>E3*Assumptions!$B$4/1000</f>
        <v>1.9911375</v>
      </c>
      <c r="H3" s="15">
        <f>F3*Assumptions!$B$5/1000</f>
        <v>2.65485</v>
      </c>
      <c r="I3" s="15">
        <f t="shared" si="1"/>
        <v>4.6459875</v>
      </c>
      <c r="J3" s="15">
        <f>I3/Assumptions!$B$2</f>
        <v>0.009193747071</v>
      </c>
    </row>
    <row r="4" ht="22.5" customHeight="1">
      <c r="A4" s="15" t="str">
        <f>Scenarios!A4</f>
        <v>C - Aggressive</v>
      </c>
      <c r="B4" s="15">
        <f>Assumptions!$B$2*Assumptions!$B$3</f>
        <v>776.2719298</v>
      </c>
      <c r="C4" s="15">
        <f>Scenarios!B4</f>
        <v>3</v>
      </c>
      <c r="D4" s="15">
        <f>Scenarios!C4</f>
        <v>0.8</v>
      </c>
      <c r="E4" s="15">
        <f>B4*C4*Assumptions!$B$6*Assumptions!$B$7</f>
        <v>1991.1375</v>
      </c>
      <c r="F4" s="15">
        <f>B4*D4*Assumptions!$B$6*Assumptions!$B$7</f>
        <v>530.97</v>
      </c>
      <c r="G4" s="15">
        <f>E4*Assumptions!$B$4/1000</f>
        <v>5.9734125</v>
      </c>
      <c r="H4" s="15">
        <f>F4*Assumptions!$B$5/1000</f>
        <v>4.24776</v>
      </c>
      <c r="I4" s="15">
        <f t="shared" si="1"/>
        <v>10.2211725</v>
      </c>
      <c r="J4" s="15">
        <f>I4/Assumptions!$B$2</f>
        <v>0.02022624356</v>
      </c>
    </row>
    <row r="5" ht="22.5" customHeight="1">
      <c r="A5" s="15" t="str">
        <f>Scenarios!A5</f>
        <v>D - Mixed</v>
      </c>
      <c r="B5" s="15">
        <f>Assumptions!$B$2*Assumptions!$B$3</f>
        <v>776.2719298</v>
      </c>
      <c r="C5" s="15">
        <f>Scenarios!B5</f>
        <v>1.5</v>
      </c>
      <c r="D5" s="15">
        <f>Scenarios!C5</f>
        <v>0.7</v>
      </c>
      <c r="E5" s="15">
        <f>B5*C5*Assumptions!$B$6*Assumptions!$B$7</f>
        <v>995.56875</v>
      </c>
      <c r="F5" s="15">
        <f>B5*D5*Assumptions!$B$6*Assumptions!$B$7</f>
        <v>464.59875</v>
      </c>
      <c r="G5" s="15">
        <f>E5*Assumptions!$B$4/1000</f>
        <v>2.98670625</v>
      </c>
      <c r="H5" s="15">
        <f>F5*Assumptions!$B$5/1000</f>
        <v>3.71679</v>
      </c>
      <c r="I5" s="15">
        <f t="shared" si="1"/>
        <v>6.70349625</v>
      </c>
      <c r="J5" s="15">
        <f>I5/Assumptions!$B$2</f>
        <v>0.01326526363</v>
      </c>
    </row>
    <row r="7">
      <c r="A7" s="18" t="s">
        <v>56</v>
      </c>
    </row>
  </sheetData>
  <mergeCells count="1">
    <mergeCell ref="A7:E7"/>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c r="J1" s="3" t="s">
        <v>8</v>
      </c>
      <c r="K1" s="2"/>
      <c r="L1" s="4" t="s">
        <v>9</v>
      </c>
      <c r="M1" s="4" t="s">
        <v>10</v>
      </c>
      <c r="N1" s="4" t="s">
        <v>11</v>
      </c>
      <c r="O1" s="4" t="s">
        <v>12</v>
      </c>
      <c r="P1" s="4" t="s">
        <v>13</v>
      </c>
      <c r="Q1" s="4" t="s">
        <v>14</v>
      </c>
      <c r="R1" s="4" t="s">
        <v>15</v>
      </c>
      <c r="S1" s="4" t="s">
        <v>16</v>
      </c>
      <c r="T1" s="2"/>
      <c r="U1" s="5" t="s">
        <v>17</v>
      </c>
      <c r="V1" s="5" t="s">
        <v>18</v>
      </c>
      <c r="W1" s="5" t="s">
        <v>19</v>
      </c>
      <c r="X1" s="5" t="s">
        <v>20</v>
      </c>
    </row>
    <row r="2">
      <c r="A2" s="6">
        <v>0.0</v>
      </c>
      <c r="B2" s="6">
        <v>3008.0</v>
      </c>
      <c r="C2" s="6">
        <v>3008.0</v>
      </c>
      <c r="D2" s="10">
        <f t="shared" ref="D2:D31" si="1">C2/B2</f>
        <v>1</v>
      </c>
      <c r="E2" s="10">
        <f>$J$2*$D2*Model!$J$2</f>
        <v>3.152141853</v>
      </c>
      <c r="F2" s="10">
        <f>$J$2*$D2*Model!$J$3</f>
        <v>9.193747071</v>
      </c>
      <c r="G2" s="10">
        <f>$J$2*$D2*Model!$J$4</f>
        <v>20.22624356</v>
      </c>
      <c r="H2" s="10">
        <f>$J$2*$D2*Model!$J$5</f>
        <v>13.26526363</v>
      </c>
      <c r="I2" s="2"/>
      <c r="J2" s="3">
        <v>1000.0</v>
      </c>
      <c r="K2" s="2"/>
      <c r="L2" s="10">
        <f>$D2*(1-Scenarios!$E$2)^$A2</f>
        <v>1</v>
      </c>
      <c r="M2" s="10">
        <f>$D2*(1-Scenarios!$E$3)^$A2</f>
        <v>1</v>
      </c>
      <c r="N2" s="10">
        <f>$D2*(1-Scenarios!$E$4)^$A2</f>
        <v>1</v>
      </c>
      <c r="O2" s="10">
        <f>$D2*(1-Scenarios!$E$5)^$A2</f>
        <v>1</v>
      </c>
      <c r="P2" s="10">
        <f>$J$2*L2*Model!$J$2</f>
        <v>3.152141853</v>
      </c>
      <c r="Q2" s="10">
        <f>$J$2*M2*Model!$J$3</f>
        <v>9.193747071</v>
      </c>
      <c r="R2" s="10">
        <f>$J$2*N2*Model!$J$4</f>
        <v>20.22624356</v>
      </c>
      <c r="S2" s="10">
        <f>$J$2*O2*Model!$J$5</f>
        <v>13.26526363</v>
      </c>
      <c r="T2" s="2"/>
      <c r="U2" s="19">
        <f>$J$2*$D2*(1-2*Scenarios!$E$2)^$A2*Model!$J$2</f>
        <v>3.152141853</v>
      </c>
      <c r="V2" s="19">
        <f>$J$2*$D2*(1-2*Scenarios!$E$3)^$A2*Model!$J$3</f>
        <v>9.193747071</v>
      </c>
      <c r="W2" s="19">
        <f>$J$2*$D2*(1-2*Scenarios!$E$4)^$A2*Model!$J$4</f>
        <v>20.22624356</v>
      </c>
      <c r="X2" s="19">
        <f>$J$2*$D2*(1-2*Scenarios!$E$5)^$A2*Model!$J$5</f>
        <v>13.26526363</v>
      </c>
    </row>
    <row r="3">
      <c r="A3" s="6">
        <v>1.0</v>
      </c>
      <c r="B3" s="6">
        <v>3008.0</v>
      </c>
      <c r="C3" s="6">
        <v>661.0</v>
      </c>
      <c r="D3" s="10">
        <f t="shared" si="1"/>
        <v>0.2197473404</v>
      </c>
      <c r="E3" s="10">
        <f>$J$2*$D3*Model!$J$2</f>
        <v>0.6926747888</v>
      </c>
      <c r="F3" s="10">
        <f>$J$2*$D3*Model!$J$3</f>
        <v>2.020301467</v>
      </c>
      <c r="G3" s="10">
        <f>$J$2*$D3*Model!$J$4</f>
        <v>4.444663228</v>
      </c>
      <c r="H3" s="10">
        <f>$J$2*$D3*Model!$J$5</f>
        <v>2.915006403</v>
      </c>
      <c r="I3" s="2"/>
      <c r="J3" s="2"/>
      <c r="K3" s="2"/>
      <c r="L3" s="10">
        <f>$D3*(1-Scenarios!$E$2)^$A3</f>
        <v>0.2197473404</v>
      </c>
      <c r="M3" s="10">
        <f>$D3*(1-Scenarios!$E$3)^$A3</f>
        <v>0.217549867</v>
      </c>
      <c r="N3" s="10">
        <f>$D3*(1-Scenarios!$E$4)^$A3</f>
        <v>0.2109574468</v>
      </c>
      <c r="O3" s="10">
        <f>$D3*(1-Scenarios!$E$5)^$A3</f>
        <v>0.2153523936</v>
      </c>
      <c r="P3" s="10">
        <f>$J$2*L3*Model!$J$2</f>
        <v>0.6926747888</v>
      </c>
      <c r="Q3" s="10">
        <f>$J$2*M3*Model!$J$3</f>
        <v>2.000098453</v>
      </c>
      <c r="R3" s="10">
        <f>$J$2*N3*Model!$J$4</f>
        <v>4.266876699</v>
      </c>
      <c r="S3" s="10">
        <f>$J$2*O3*Model!$J$5</f>
        <v>2.856706275</v>
      </c>
      <c r="T3" s="2"/>
      <c r="U3" s="19">
        <f>$J$2*$D3*(1-2*Scenarios!$E$2)^$A3*Model!$J$2</f>
        <v>0.6926747888</v>
      </c>
      <c r="V3" s="19">
        <f>$J$2*$D3*(1-2*Scenarios!$E$3)^$A3*Model!$J$3</f>
        <v>1.979895438</v>
      </c>
      <c r="W3" s="19">
        <f>$J$2*$D3*(1-2*Scenarios!$E$4)^$A3*Model!$J$4</f>
        <v>4.08909017</v>
      </c>
      <c r="X3" s="19">
        <f>$J$2*$D3*(1-2*Scenarios!$E$5)^$A3*Model!$J$5</f>
        <v>2.798406147</v>
      </c>
    </row>
    <row r="4">
      <c r="A4" s="6">
        <v>2.0</v>
      </c>
      <c r="B4" s="6">
        <v>3008.0</v>
      </c>
      <c r="C4" s="6">
        <v>434.0</v>
      </c>
      <c r="D4" s="10">
        <f t="shared" si="1"/>
        <v>0.1442819149</v>
      </c>
      <c r="E4" s="10">
        <f>$J$2*$D4*Model!$J$2</f>
        <v>0.4547970625</v>
      </c>
      <c r="F4" s="10">
        <f>$J$2*$D4*Model!$J$3</f>
        <v>1.326491432</v>
      </c>
      <c r="G4" s="10">
        <f>$J$2*$D4*Model!$J$4</f>
        <v>2.918281151</v>
      </c>
      <c r="H4" s="10">
        <f>$J$2*$D4*Model!$J$5</f>
        <v>1.913937638</v>
      </c>
      <c r="I4" s="2"/>
      <c r="J4" s="2"/>
      <c r="K4" s="2"/>
      <c r="L4" s="10">
        <f>$D4*(1-Scenarios!$E$2)^$A4</f>
        <v>0.1442819149</v>
      </c>
      <c r="M4" s="10">
        <f>$D4*(1-Scenarios!$E$3)^$A4</f>
        <v>0.1414107048</v>
      </c>
      <c r="N4" s="10">
        <f>$D4*(1-Scenarios!$E$4)^$A4</f>
        <v>0.1329702128</v>
      </c>
      <c r="O4" s="10">
        <f>$D4*(1-Scenarios!$E$5)^$A4</f>
        <v>0.1385683511</v>
      </c>
      <c r="P4" s="10">
        <f>$J$2*L4*Model!$J$2</f>
        <v>0.4547970625</v>
      </c>
      <c r="Q4" s="10">
        <f>$J$2*M4*Model!$J$3</f>
        <v>1.300094253</v>
      </c>
      <c r="R4" s="10">
        <f>$J$2*N4*Model!$J$4</f>
        <v>2.689487909</v>
      </c>
      <c r="S4" s="10">
        <f>$J$2*O4*Model!$J$5</f>
        <v>1.838145708</v>
      </c>
      <c r="T4" s="2"/>
      <c r="U4" s="19">
        <f>$J$2*$D4*(1-2*Scenarios!$E$2)^$A4*Model!$J$2</f>
        <v>0.4547970625</v>
      </c>
      <c r="V4" s="19">
        <f>$J$2*$D4*(1-2*Scenarios!$E$3)^$A4*Model!$J$3</f>
        <v>1.273962372</v>
      </c>
      <c r="W4" s="19">
        <f>$J$2*$D4*(1-2*Scenarios!$E$4)^$A4*Model!$J$4</f>
        <v>2.470033166</v>
      </c>
      <c r="X4" s="19">
        <f>$J$2*$D4*(1-2*Scenarios!$E$5)^$A4*Model!$J$5</f>
        <v>1.763884927</v>
      </c>
    </row>
    <row r="5">
      <c r="A5" s="6">
        <v>3.0</v>
      </c>
      <c r="B5" s="6">
        <v>3008.0</v>
      </c>
      <c r="C5" s="6">
        <v>313.0</v>
      </c>
      <c r="D5" s="10">
        <f t="shared" si="1"/>
        <v>0.1040558511</v>
      </c>
      <c r="E5" s="10">
        <f>$J$2*$D5*Model!$J$2</f>
        <v>0.3279988032</v>
      </c>
      <c r="F5" s="10">
        <f>$J$2*$D5*Model!$J$3</f>
        <v>0.9566631759</v>
      </c>
      <c r="G5" s="10">
        <f>$J$2*$D5*Model!$J$4</f>
        <v>2.104658987</v>
      </c>
      <c r="H5" s="10">
        <f>$J$2*$D5*Model!$J$5</f>
        <v>1.380328297</v>
      </c>
      <c r="I5" s="2"/>
      <c r="J5" s="2"/>
      <c r="K5" s="2"/>
      <c r="L5" s="10">
        <f>$D5*(1-Scenarios!$E$2)^$A5</f>
        <v>0.1040558511</v>
      </c>
      <c r="M5" s="10">
        <f>$D5*(1-Scenarios!$E$3)^$A5</f>
        <v>0.1009652882</v>
      </c>
      <c r="N5" s="10">
        <f>$D5*(1-Scenarios!$E$4)^$A5</f>
        <v>0.09206195745</v>
      </c>
      <c r="O5" s="10">
        <f>$D5*(1-Scenarios!$E$5)^$A5</f>
        <v>0.09793653457</v>
      </c>
      <c r="P5" s="10">
        <f>$J$2*L5*Model!$J$2</f>
        <v>0.3279988032</v>
      </c>
      <c r="Q5" s="10">
        <f>$J$2*M5*Model!$J$3</f>
        <v>0.9282493229</v>
      </c>
      <c r="R5" s="10">
        <f>$J$2*N5*Model!$J$4</f>
        <v>1.862067574</v>
      </c>
      <c r="S5" s="10">
        <f>$J$2*O5*Model!$J$5</f>
        <v>1.29915395</v>
      </c>
      <c r="T5" s="2"/>
      <c r="U5" s="19">
        <f>$J$2*$D5*(1-2*Scenarios!$E$2)^$A5*Model!$J$2</f>
        <v>0.3279988032</v>
      </c>
      <c r="V5" s="19">
        <f>$J$2*$D5*(1-2*Scenarios!$E$3)^$A5*Model!$J$3</f>
        <v>0.9004037279</v>
      </c>
      <c r="W5" s="19">
        <f>$J$2*$D5*(1-2*Scenarios!$E$4)^$A5*Model!$J$4</f>
        <v>1.638872697</v>
      </c>
      <c r="X5" s="19">
        <f>$J$2*$D5*(1-2*Scenarios!$E$5)^$A5*Model!$J$5</f>
        <v>1.221226136</v>
      </c>
    </row>
    <row r="6">
      <c r="A6" s="6">
        <v>4.0</v>
      </c>
      <c r="B6" s="6">
        <v>3008.0</v>
      </c>
      <c r="C6" s="6">
        <v>239.0</v>
      </c>
      <c r="D6" s="10">
        <f t="shared" si="1"/>
        <v>0.07945478723</v>
      </c>
      <c r="E6" s="10">
        <f>$J$2*$D6*Model!$J$2</f>
        <v>0.2504527602</v>
      </c>
      <c r="F6" s="10">
        <f>$J$2*$D6*Model!$J$3</f>
        <v>0.7304872174</v>
      </c>
      <c r="G6" s="10">
        <f>$J$2*$D6*Model!$J$4</f>
        <v>1.607071878</v>
      </c>
      <c r="H6" s="10">
        <f>$J$2*$D6*Model!$J$5</f>
        <v>1.053988699</v>
      </c>
      <c r="I6" s="2"/>
      <c r="J6" s="2"/>
      <c r="K6" s="2"/>
      <c r="L6" s="10">
        <f>$D6*(1-Scenarios!$E$2)^$A6</f>
        <v>0.07945478723</v>
      </c>
      <c r="M6" s="10">
        <f>$D6*(1-Scenarios!$E$3)^$A6</f>
        <v>0.07632395159</v>
      </c>
      <c r="N6" s="10">
        <f>$D6*(1-Scenarios!$E$4)^$A6</f>
        <v>0.06748465021</v>
      </c>
      <c r="O6" s="10">
        <f>$D6*(1-Scenarios!$E$5)^$A6</f>
        <v>0.0732865659</v>
      </c>
      <c r="P6" s="10">
        <f>$J$2*L6*Model!$J$2</f>
        <v>0.2504527602</v>
      </c>
      <c r="Q6" s="10">
        <f>$J$2*M6*Model!$J$3</f>
        <v>0.7017031064</v>
      </c>
      <c r="R6" s="10">
        <f>$J$2*N6*Model!$J$4</f>
        <v>1.364960971</v>
      </c>
      <c r="S6" s="10">
        <f>$J$2*O6*Model!$J$5</f>
        <v>0.9721656173</v>
      </c>
      <c r="T6" s="2"/>
      <c r="U6" s="19">
        <f>$J$2*$D6*(1-2*Scenarios!$E$2)^$A6*Model!$J$2</f>
        <v>0.2504527602</v>
      </c>
      <c r="V6" s="19">
        <f>$J$2*$D6*(1-2*Scenarios!$E$3)^$A6*Model!$J$3</f>
        <v>0.6737781506</v>
      </c>
      <c r="W6" s="19">
        <f>$J$2*$D6*(1-2*Scenarios!$E$4)^$A6*Model!$J$4</f>
        <v>1.15129498</v>
      </c>
      <c r="X6" s="19">
        <f>$J$2*$D6*(1-2*Scenarios!$E$5)^$A6*Model!$J$5</f>
        <v>0.8952016761</v>
      </c>
    </row>
    <row r="7">
      <c r="A7" s="6">
        <v>5.0</v>
      </c>
      <c r="B7" s="6">
        <v>3008.0</v>
      </c>
      <c r="C7" s="6">
        <v>210.0</v>
      </c>
      <c r="D7" s="10">
        <f t="shared" si="1"/>
        <v>0.06981382979</v>
      </c>
      <c r="E7" s="10">
        <f>$J$2*$D7*Model!$J$2</f>
        <v>0.2200630948</v>
      </c>
      <c r="F7" s="10">
        <f>$J$2*$D7*Model!$J$3</f>
        <v>0.6418506931</v>
      </c>
      <c r="G7" s="10">
        <f>$J$2*$D7*Model!$J$4</f>
        <v>1.412071525</v>
      </c>
      <c r="H7" s="10">
        <f>$J$2*$D7*Model!$J$5</f>
        <v>0.9260988572</v>
      </c>
      <c r="I7" s="2"/>
      <c r="J7" s="2"/>
      <c r="K7" s="2"/>
      <c r="L7" s="10">
        <f>$D7*(1-Scenarios!$E$2)^$A7</f>
        <v>0.06981382979</v>
      </c>
      <c r="M7" s="10">
        <f>$D7*(1-Scenarios!$E$3)^$A7</f>
        <v>0.06639225747</v>
      </c>
      <c r="N7" s="10">
        <f>$D7*(1-Scenarios!$E$4)^$A7</f>
        <v>0.05692429072</v>
      </c>
      <c r="O7" s="10">
        <f>$D7*(1-Scenarios!$E$5)^$A7</f>
        <v>0.06310617265</v>
      </c>
      <c r="P7" s="10">
        <f>$J$2*L7*Model!$J$2</f>
        <v>0.2200630948</v>
      </c>
      <c r="Q7" s="10">
        <f>$J$2*M7*Model!$J$3</f>
        <v>0.6103936227</v>
      </c>
      <c r="R7" s="10">
        <f>$J$2*N7*Model!$J$4</f>
        <v>1.151364568</v>
      </c>
      <c r="S7" s="10">
        <f>$J$2*O7*Model!$J$5</f>
        <v>0.8371200169</v>
      </c>
      <c r="T7" s="2"/>
      <c r="U7" s="19">
        <f>$J$2*$D7*(1-2*Scenarios!$E$2)^$A7*Model!$J$2</f>
        <v>0.2200630948</v>
      </c>
      <c r="V7" s="19">
        <f>$J$2*$D7*(1-2*Scenarios!$E$3)^$A7*Model!$J$3</f>
        <v>0.5801821899</v>
      </c>
      <c r="W7" s="19">
        <f>$J$2*$D7*(1-2*Scenarios!$E$4)^$A7*Model!$J$4</f>
        <v>0.9306702515</v>
      </c>
      <c r="X7" s="19">
        <f>$J$2*$D7*(1-2*Scenarios!$E$5)^$A7*Model!$J$5</f>
        <v>0.7551157234</v>
      </c>
    </row>
    <row r="8">
      <c r="A8" s="6">
        <v>6.0</v>
      </c>
      <c r="B8" s="6">
        <v>3008.0</v>
      </c>
      <c r="C8" s="6">
        <v>193.0</v>
      </c>
      <c r="D8" s="10">
        <f t="shared" si="1"/>
        <v>0.06416223404</v>
      </c>
      <c r="E8" s="10">
        <f>$J$2*$D8*Model!$J$2</f>
        <v>0.2022484633</v>
      </c>
      <c r="F8" s="10">
        <f>$J$2*$D8*Model!$J$3</f>
        <v>0.5898913513</v>
      </c>
      <c r="G8" s="10">
        <f>$J$2*$D8*Model!$J$4</f>
        <v>1.297760973</v>
      </c>
      <c r="H8" s="10">
        <f>$J$2*$D8*Model!$J$5</f>
        <v>0.8511289497</v>
      </c>
      <c r="I8" s="2"/>
      <c r="J8" s="2"/>
      <c r="K8" s="2"/>
      <c r="L8" s="10">
        <f>$D8*(1-Scenarios!$E$2)^$A8</f>
        <v>0.06416223404</v>
      </c>
      <c r="M8" s="10">
        <f>$D8*(1-Scenarios!$E$3)^$A8</f>
        <v>0.06040746969</v>
      </c>
      <c r="N8" s="10">
        <f>$D8*(1-Scenarios!$E$4)^$A8</f>
        <v>0.0502234885</v>
      </c>
      <c r="O8" s="10">
        <f>$D8*(1-Scenarios!$E$5)^$A8</f>
        <v>0.05683762617</v>
      </c>
      <c r="P8" s="10">
        <f>$J$2*L8*Model!$J$2</f>
        <v>0.2022484633</v>
      </c>
      <c r="Q8" s="10">
        <f>$J$2*M8*Model!$J$3</f>
        <v>0.5553709975</v>
      </c>
      <c r="R8" s="10">
        <f>$J$2*N8*Model!$J$4</f>
        <v>1.015832511</v>
      </c>
      <c r="S8" s="10">
        <f>$J$2*O8*Model!$J$5</f>
        <v>0.7539660952</v>
      </c>
      <c r="T8" s="2"/>
      <c r="U8" s="19">
        <f>$J$2*$D8*(1-2*Scenarios!$E$2)^$A8*Model!$J$2</f>
        <v>0.2022484633</v>
      </c>
      <c r="V8" s="19">
        <f>$J$2*$D8*(1-2*Scenarios!$E$3)^$A8*Model!$J$3</f>
        <v>0.5225507591</v>
      </c>
      <c r="W8" s="19">
        <f>$J$2*$D8*(1-2*Scenarios!$E$4)^$A8*Model!$J$4</f>
        <v>0.7869038564</v>
      </c>
      <c r="X8" s="19">
        <f>$J$2*$D8*(1-2*Scenarios!$E$5)^$A8*Model!$J$5</f>
        <v>0.6662278154</v>
      </c>
    </row>
    <row r="9">
      <c r="A9" s="6">
        <v>7.0</v>
      </c>
      <c r="B9" s="6">
        <v>3008.0</v>
      </c>
      <c r="C9" s="6">
        <v>177.0</v>
      </c>
      <c r="D9" s="10">
        <f t="shared" si="1"/>
        <v>0.05884308511</v>
      </c>
      <c r="E9" s="10">
        <f>$J$2*$D9*Model!$J$2</f>
        <v>0.1854817513</v>
      </c>
      <c r="F9" s="10">
        <f>$J$2*$D9*Model!$J$3</f>
        <v>0.5409884413</v>
      </c>
      <c r="G9" s="10">
        <f>$J$2*$D9*Model!$J$4</f>
        <v>1.190174571</v>
      </c>
      <c r="H9" s="10">
        <f>$J$2*$D9*Model!$J$5</f>
        <v>0.7805690368</v>
      </c>
      <c r="I9" s="2"/>
      <c r="J9" s="2"/>
      <c r="K9" s="2"/>
      <c r="L9" s="10">
        <f>$D9*(1-Scenarios!$E$2)^$A9</f>
        <v>0.05884308511</v>
      </c>
      <c r="M9" s="10">
        <f>$D9*(1-Scenarios!$E$3)^$A9</f>
        <v>0.05484560059</v>
      </c>
      <c r="N9" s="10">
        <f>$D9*(1-Scenarios!$E$4)^$A9</f>
        <v>0.04421748791</v>
      </c>
      <c r="O9" s="10">
        <f>$D9*(1-Scenarios!$E$5)^$A9</f>
        <v>0.05108318464</v>
      </c>
      <c r="P9" s="10">
        <f>$J$2*L9*Model!$J$2</f>
        <v>0.1854817513</v>
      </c>
      <c r="Q9" s="10">
        <f>$J$2*M9*Model!$J$3</f>
        <v>0.5042365798</v>
      </c>
      <c r="R9" s="10">
        <f>$J$2*N9*Model!$J$4</f>
        <v>0.8943536798</v>
      </c>
      <c r="S9" s="10">
        <f>$J$2*O9*Model!$J$5</f>
        <v>0.6776319113</v>
      </c>
      <c r="T9" s="2"/>
      <c r="U9" s="19">
        <f>$J$2*$D9*(1-2*Scenarios!$E$2)^$A9*Model!$J$2</f>
        <v>0.1854817513</v>
      </c>
      <c r="V9" s="19">
        <f>$J$2*$D9*(1-2*Scenarios!$E$3)^$A9*Model!$J$3</f>
        <v>0.4696458791</v>
      </c>
      <c r="W9" s="19">
        <f>$J$2*$D9*(1-2*Scenarios!$E$4)^$A9*Model!$J$4</f>
        <v>0.6639348393</v>
      </c>
      <c r="X9" s="19">
        <f>$J$2*$D9*(1-2*Scenarios!$E$5)^$A9*Model!$J$5</f>
        <v>0.5865566342</v>
      </c>
    </row>
    <row r="10">
      <c r="A10" s="6">
        <v>8.0</v>
      </c>
      <c r="B10" s="6">
        <v>3008.0</v>
      </c>
      <c r="C10" s="6">
        <v>161.0</v>
      </c>
      <c r="D10" s="10">
        <f t="shared" si="1"/>
        <v>0.05352393617</v>
      </c>
      <c r="E10" s="10">
        <f>$J$2*$D10*Model!$J$2</f>
        <v>0.1687150393</v>
      </c>
      <c r="F10" s="10">
        <f>$J$2*$D10*Model!$J$3</f>
        <v>0.4920855314</v>
      </c>
      <c r="G10" s="10">
        <f>$J$2*$D10*Model!$J$4</f>
        <v>1.082588169</v>
      </c>
      <c r="H10" s="10">
        <f>$J$2*$D10*Model!$J$5</f>
        <v>0.7100091238</v>
      </c>
      <c r="I10" s="2"/>
      <c r="J10" s="2"/>
      <c r="K10" s="2"/>
      <c r="L10" s="10">
        <f>$D10*(1-Scenarios!$E$2)^$A10</f>
        <v>0.05352393617</v>
      </c>
      <c r="M10" s="10">
        <f>$D10*(1-Scenarios!$E$3)^$A10</f>
        <v>0.04938892813</v>
      </c>
      <c r="N10" s="10">
        <f>$D10*(1-Scenarios!$E$4)^$A10</f>
        <v>0.03861160978</v>
      </c>
      <c r="O10" s="10">
        <f>$D10*(1-Scenarios!$E$5)^$A10</f>
        <v>0.04553618572</v>
      </c>
      <c r="P10" s="10">
        <f>$J$2*L10*Model!$J$2</f>
        <v>0.1687150393</v>
      </c>
      <c r="Q10" s="10">
        <f>$J$2*M10*Model!$J$3</f>
        <v>0.4540693133</v>
      </c>
      <c r="R10" s="10">
        <f>$J$2*N10*Model!$J$4</f>
        <v>0.7809678235</v>
      </c>
      <c r="S10" s="10">
        <f>$J$2*O10*Model!$J$5</f>
        <v>0.6040495083</v>
      </c>
      <c r="T10" s="2"/>
      <c r="U10" s="19">
        <f>$J$2*$D10*(1-2*Scenarios!$E$2)^$A10*Model!$J$2</f>
        <v>0.1687150393</v>
      </c>
      <c r="V10" s="19">
        <f>$J$2*$D10*(1-2*Scenarios!$E$3)^$A10*Model!$J$3</f>
        <v>0.418648174</v>
      </c>
      <c r="W10" s="19">
        <f>$J$2*$D10*(1-2*Scenarios!$E$4)^$A10*Model!$J$4</f>
        <v>0.5556046802</v>
      </c>
      <c r="X10" s="19">
        <f>$J$2*$D10*(1-2*Scenarios!$E$5)^$A10*Model!$J$5</f>
        <v>0.5121931829</v>
      </c>
    </row>
    <row r="11">
      <c r="A11" s="6">
        <v>9.0</v>
      </c>
      <c r="B11" s="6">
        <v>3008.0</v>
      </c>
      <c r="C11" s="6">
        <v>143.0</v>
      </c>
      <c r="D11" s="10">
        <f t="shared" si="1"/>
        <v>0.04753989362</v>
      </c>
      <c r="E11" s="10">
        <f>$J$2*$D11*Model!$J$2</f>
        <v>0.1498524883</v>
      </c>
      <c r="F11" s="10">
        <f>$J$2*$D11*Model!$J$3</f>
        <v>0.4370697577</v>
      </c>
      <c r="G11" s="10">
        <f>$J$2*$D11*Model!$J$4</f>
        <v>0.9615534669</v>
      </c>
      <c r="H11" s="10">
        <f>$J$2*$D11*Model!$J$5</f>
        <v>0.6306292218</v>
      </c>
      <c r="I11" s="2"/>
      <c r="J11" s="2"/>
      <c r="K11" s="2"/>
      <c r="L11" s="10">
        <f>$D11*(1-Scenarios!$E$2)^$A11</f>
        <v>0.04753989362</v>
      </c>
      <c r="M11" s="10">
        <f>$D11*(1-Scenarios!$E$3)^$A11</f>
        <v>0.04342851276</v>
      </c>
      <c r="N11" s="10">
        <f>$D11*(1-Scenarios!$E$4)^$A11</f>
        <v>0.03292299249</v>
      </c>
      <c r="O11" s="10">
        <f>$D11*(1-Scenarios!$E$5)^$A11</f>
        <v>0.03963627992</v>
      </c>
      <c r="P11" s="10">
        <f>$J$2*L11*Model!$J$2</f>
        <v>0.1498524883</v>
      </c>
      <c r="Q11" s="10">
        <f>$J$2*M11*Model!$J$3</f>
        <v>0.399270762</v>
      </c>
      <c r="R11" s="10">
        <f>$J$2*N11*Model!$J$4</f>
        <v>0.6659084646</v>
      </c>
      <c r="S11" s="10">
        <f>$J$2*O11*Model!$J$5</f>
        <v>0.5257857024</v>
      </c>
      <c r="T11" s="2"/>
      <c r="U11" s="19">
        <f>$J$2*$D11*(1-2*Scenarios!$E$2)^$A11*Model!$J$2</f>
        <v>0.1498524883</v>
      </c>
      <c r="V11" s="19">
        <f>$J$2*$D11*(1-2*Scenarios!$E$3)^$A11*Model!$J$3</f>
        <v>0.3644059324</v>
      </c>
      <c r="W11" s="19">
        <f>$J$2*$D11*(1-2*Scenarios!$E$4)^$A11*Model!$J$4</f>
        <v>0.4540083958</v>
      </c>
      <c r="X11" s="19">
        <f>$J$2*$D11*(1-2*Scenarios!$E$5)^$A11*Model!$J$5</f>
        <v>0.4367321749</v>
      </c>
    </row>
    <row r="12">
      <c r="A12" s="6">
        <v>10.0</v>
      </c>
      <c r="B12" s="6">
        <v>3008.0</v>
      </c>
      <c r="C12" s="6">
        <v>143.0</v>
      </c>
      <c r="D12" s="10">
        <f t="shared" si="1"/>
        <v>0.04753989362</v>
      </c>
      <c r="E12" s="10">
        <f>$J$2*$D12*Model!$J$2</f>
        <v>0.1498524883</v>
      </c>
      <c r="F12" s="10">
        <f>$J$2*$D12*Model!$J$3</f>
        <v>0.4370697577</v>
      </c>
      <c r="G12" s="10">
        <f>$J$2*$D12*Model!$J$4</f>
        <v>0.9615534669</v>
      </c>
      <c r="H12" s="10">
        <f>$J$2*$D12*Model!$J$5</f>
        <v>0.6306292218</v>
      </c>
      <c r="I12" s="2"/>
      <c r="J12" s="2"/>
      <c r="K12" s="2"/>
      <c r="L12" s="10">
        <f>$D12*(1-Scenarios!$E$2)^$A12</f>
        <v>0.04753989362</v>
      </c>
      <c r="M12" s="10">
        <f>$D12*(1-Scenarios!$E$3)^$A12</f>
        <v>0.04299422764</v>
      </c>
      <c r="N12" s="10">
        <f>$D12*(1-Scenarios!$E$4)^$A12</f>
        <v>0.03160607279</v>
      </c>
      <c r="O12" s="10">
        <f>$D12*(1-Scenarios!$E$5)^$A12</f>
        <v>0.03884355432</v>
      </c>
      <c r="P12" s="10">
        <f>$J$2*L12*Model!$J$2</f>
        <v>0.1498524883</v>
      </c>
      <c r="Q12" s="10">
        <f>$J$2*M12*Model!$J$3</f>
        <v>0.3952780544</v>
      </c>
      <c r="R12" s="10">
        <f>$J$2*N12*Model!$J$4</f>
        <v>0.6392721261</v>
      </c>
      <c r="S12" s="10">
        <f>$J$2*O12*Model!$J$5</f>
        <v>0.5152699884</v>
      </c>
      <c r="T12" s="2"/>
      <c r="U12" s="19">
        <f>$J$2*$D12*(1-2*Scenarios!$E$2)^$A12*Model!$J$2</f>
        <v>0.1498524883</v>
      </c>
      <c r="V12" s="19">
        <f>$J$2*$D12*(1-2*Scenarios!$E$3)^$A12*Model!$J$3</f>
        <v>0.3571178137</v>
      </c>
      <c r="W12" s="19">
        <f>$J$2*$D12*(1-2*Scenarios!$E$4)^$A12*Model!$J$4</f>
        <v>0.4176877241</v>
      </c>
      <c r="X12" s="19">
        <f>$J$2*$D12*(1-2*Scenarios!$E$5)^$A12*Model!$J$5</f>
        <v>0.4192628879</v>
      </c>
    </row>
    <row r="13">
      <c r="A13" s="6">
        <v>11.0</v>
      </c>
      <c r="B13" s="6">
        <v>3008.0</v>
      </c>
      <c r="C13" s="6">
        <v>103.0</v>
      </c>
      <c r="D13" s="10">
        <f t="shared" si="1"/>
        <v>0.03424202128</v>
      </c>
      <c r="E13" s="10">
        <f>$J$2*$D13*Model!$J$2</f>
        <v>0.1079357084</v>
      </c>
      <c r="F13" s="10">
        <f>$J$2*$D13*Model!$J$3</f>
        <v>0.3148124828</v>
      </c>
      <c r="G13" s="10">
        <f>$J$2*$D13*Model!$J$4</f>
        <v>0.6925874622</v>
      </c>
      <c r="H13" s="10">
        <f>$J$2*$D13*Model!$J$5</f>
        <v>0.4542294395</v>
      </c>
      <c r="I13" s="2"/>
      <c r="J13" s="2"/>
      <c r="K13" s="2"/>
      <c r="L13" s="10">
        <f>$D13*(1-Scenarios!$E$2)^$A13</f>
        <v>0.03424202128</v>
      </c>
      <c r="M13" s="10">
        <f>$D13*(1-Scenarios!$E$3)^$A13</f>
        <v>0.03065819155</v>
      </c>
      <c r="N13" s="10">
        <f>$D13*(1-Scenarios!$E$4)^$A13</f>
        <v>0.02185460474</v>
      </c>
      <c r="O13" s="10">
        <f>$D13*(1-Scenarios!$E$5)^$A13</f>
        <v>0.02741865995</v>
      </c>
      <c r="P13" s="10">
        <f>$J$2*L13*Model!$J$2</f>
        <v>0.1079357084</v>
      </c>
      <c r="Q13" s="10">
        <f>$J$2*M13*Model!$J$3</f>
        <v>0.2818636588</v>
      </c>
      <c r="R13" s="10">
        <f>$J$2*N13*Model!$J$4</f>
        <v>0.4420365582</v>
      </c>
      <c r="S13" s="10">
        <f>$J$2*O13*Model!$J$5</f>
        <v>0.3637157526</v>
      </c>
      <c r="T13" s="2"/>
      <c r="U13" s="19">
        <f>$J$2*$D13*(1-2*Scenarios!$E$2)^$A13*Model!$J$2</f>
        <v>0.1079357084</v>
      </c>
      <c r="V13" s="19">
        <f>$J$2*$D13*(1-2*Scenarios!$E$3)^$A13*Model!$J$3</f>
        <v>0.2520802246</v>
      </c>
      <c r="W13" s="19">
        <f>$J$2*$D13*(1-2*Scenarios!$E$4)^$A13*Model!$J$4</f>
        <v>0.2767838373</v>
      </c>
      <c r="X13" s="19">
        <f>$J$2*$D13*(1-2*Scenarios!$E$5)^$A13*Model!$J$5</f>
        <v>0.2899070934</v>
      </c>
    </row>
    <row r="14">
      <c r="A14" s="6">
        <v>12.0</v>
      </c>
      <c r="B14" s="6">
        <v>3008.0</v>
      </c>
      <c r="C14" s="6">
        <v>131.0</v>
      </c>
      <c r="D14" s="10">
        <f t="shared" si="1"/>
        <v>0.04355053191</v>
      </c>
      <c r="E14" s="10">
        <f>$J$2*$D14*Model!$J$2</f>
        <v>0.1372774544</v>
      </c>
      <c r="F14" s="10">
        <f>$J$2*$D14*Model!$J$3</f>
        <v>0.4003925752</v>
      </c>
      <c r="G14" s="10">
        <f>$J$2*$D14*Model!$J$4</f>
        <v>0.8808636655</v>
      </c>
      <c r="H14" s="10">
        <f>$J$2*$D14*Model!$J$5</f>
        <v>0.5777092871</v>
      </c>
      <c r="I14" s="2"/>
      <c r="J14" s="2"/>
      <c r="K14" s="2"/>
      <c r="L14" s="10">
        <f>$D14*(1-Scenarios!$E$2)^$A14</f>
        <v>0.04355053191</v>
      </c>
      <c r="M14" s="10">
        <f>$D14*(1-Scenarios!$E$3)^$A14</f>
        <v>0.03860253264</v>
      </c>
      <c r="N14" s="10">
        <f>$D14*(1-Scenarios!$E$4)^$A14</f>
        <v>0.02668383584</v>
      </c>
      <c r="O14" s="10">
        <f>$D14*(1-Scenarios!$E$5)^$A14</f>
        <v>0.03417483072</v>
      </c>
      <c r="P14" s="10">
        <f>$J$2*L14*Model!$J$2</f>
        <v>0.1372774544</v>
      </c>
      <c r="Q14" s="10">
        <f>$J$2*M14*Model!$J$3</f>
        <v>0.3549019214</v>
      </c>
      <c r="R14" s="10">
        <f>$J$2*N14*Model!$J$4</f>
        <v>0.5397137627</v>
      </c>
      <c r="S14" s="10">
        <f>$J$2*O14*Model!$J$5</f>
        <v>0.4533381391</v>
      </c>
      <c r="T14" s="2"/>
      <c r="U14" s="19">
        <f>$J$2*$D14*(1-2*Scenarios!$E$2)^$A14*Model!$J$2</f>
        <v>0.1372774544</v>
      </c>
      <c r="V14" s="19">
        <f>$J$2*$D14*(1-2*Scenarios!$E$3)^$A14*Model!$J$3</f>
        <v>0.3141947498</v>
      </c>
      <c r="W14" s="19">
        <f>$J$2*$D14*(1-2*Scenarios!$E$4)^$A14*Model!$J$4</f>
        <v>0.3238639619</v>
      </c>
      <c r="X14" s="19">
        <f>$J$2*$D14*(1-2*Scenarios!$E$5)^$A14*Model!$J$5</f>
        <v>0.3539681171</v>
      </c>
    </row>
    <row r="15">
      <c r="A15" s="6">
        <v>13.0</v>
      </c>
      <c r="B15" s="6">
        <v>3008.0</v>
      </c>
      <c r="C15" s="6">
        <v>105.0</v>
      </c>
      <c r="D15" s="10">
        <f t="shared" si="1"/>
        <v>0.03490691489</v>
      </c>
      <c r="E15" s="10">
        <f>$J$2*$D15*Model!$J$2</f>
        <v>0.1100315474</v>
      </c>
      <c r="F15" s="10">
        <f>$J$2*$D15*Model!$J$3</f>
        <v>0.3209253466</v>
      </c>
      <c r="G15" s="10">
        <f>$J$2*$D15*Model!$J$4</f>
        <v>0.7060357624</v>
      </c>
      <c r="H15" s="10">
        <f>$J$2*$D15*Model!$J$5</f>
        <v>0.4630494286</v>
      </c>
      <c r="I15" s="2"/>
      <c r="J15" s="2"/>
      <c r="K15" s="2"/>
      <c r="L15" s="10">
        <f>$D15*(1-Scenarios!$E$2)^$A15</f>
        <v>0.03490691489</v>
      </c>
      <c r="M15" s="10">
        <f>$D15*(1-Scenarios!$E$3)^$A15</f>
        <v>0.03063155167</v>
      </c>
      <c r="N15" s="10">
        <f>$D15*(1-Scenarios!$E$4)^$A15</f>
        <v>0.02053229506</v>
      </c>
      <c r="O15" s="10">
        <f>$D15*(1-Scenarios!$E$5)^$A15</f>
        <v>0.02684419909</v>
      </c>
      <c r="P15" s="10">
        <f>$J$2*L15*Model!$J$2</f>
        <v>0.1100315474</v>
      </c>
      <c r="Q15" s="10">
        <f>$J$2*M15*Model!$J$3</f>
        <v>0.2816187384</v>
      </c>
      <c r="R15" s="10">
        <f>$J$2*N15*Model!$J$4</f>
        <v>0.4152912006</v>
      </c>
      <c r="S15" s="10">
        <f>$J$2*O15*Model!$J$5</f>
        <v>0.3560953779</v>
      </c>
      <c r="T15" s="2"/>
      <c r="U15" s="19">
        <f>$J$2*$D15*(1-2*Scenarios!$E$2)^$A15*Model!$J$2</f>
        <v>0.1100315474</v>
      </c>
      <c r="V15" s="19">
        <f>$J$2*$D15*(1-2*Scenarios!$E$3)^$A15*Model!$J$3</f>
        <v>0.2467987768</v>
      </c>
      <c r="W15" s="19">
        <f>$J$2*$D15*(1-2*Scenarios!$E$4)^$A15*Model!$J$4</f>
        <v>0.2388187689</v>
      </c>
      <c r="X15" s="19">
        <f>$J$2*$D15*(1-2*Scenarios!$E$5)^$A15*Model!$J$5</f>
        <v>0.2723663069</v>
      </c>
    </row>
    <row r="16">
      <c r="A16" s="6">
        <v>14.0</v>
      </c>
      <c r="B16" s="6">
        <v>3008.0</v>
      </c>
      <c r="C16" s="6">
        <v>110.0</v>
      </c>
      <c r="D16" s="10">
        <f t="shared" si="1"/>
        <v>0.03656914894</v>
      </c>
      <c r="E16" s="10">
        <f>$J$2*$D16*Model!$J$2</f>
        <v>0.1152711449</v>
      </c>
      <c r="F16" s="10">
        <f>$J$2*$D16*Model!$J$3</f>
        <v>0.3362075059</v>
      </c>
      <c r="G16" s="10">
        <f>$J$2*$D16*Model!$J$4</f>
        <v>0.739656513</v>
      </c>
      <c r="H16" s="10">
        <f>$J$2*$D16*Model!$J$5</f>
        <v>0.4850994014</v>
      </c>
      <c r="I16" s="2"/>
      <c r="J16" s="2"/>
      <c r="K16" s="2"/>
      <c r="L16" s="10">
        <f>$D16*(1-Scenarios!$E$2)^$A16</f>
        <v>0.03656914894</v>
      </c>
      <c r="M16" s="10">
        <f>$D16*(1-Scenarios!$E$3)^$A16</f>
        <v>0.03176929501</v>
      </c>
      <c r="N16" s="10">
        <f>$D16*(1-Scenarios!$E$4)^$A16</f>
        <v>0.02064962246</v>
      </c>
      <c r="O16" s="10">
        <f>$D16*(1-Scenarios!$E$5)^$A16</f>
        <v>0.0275600444</v>
      </c>
      <c r="P16" s="10">
        <f>$J$2*L16*Model!$J$2</f>
        <v>0.1152711449</v>
      </c>
      <c r="Q16" s="10">
        <f>$J$2*M16*Model!$J$3</f>
        <v>0.292078863</v>
      </c>
      <c r="R16" s="10">
        <f>$J$2*N16*Model!$J$4</f>
        <v>0.4176642932</v>
      </c>
      <c r="S16" s="10">
        <f>$J$2*O16*Model!$J$5</f>
        <v>0.3655912547</v>
      </c>
      <c r="T16" s="2"/>
      <c r="U16" s="19">
        <f>$J$2*$D16*(1-2*Scenarios!$E$2)^$A16*Model!$J$2</f>
        <v>0.1152711449</v>
      </c>
      <c r="V16" s="19">
        <f>$J$2*$D16*(1-2*Scenarios!$E$3)^$A16*Model!$J$3</f>
        <v>0.2533800775</v>
      </c>
      <c r="W16" s="19">
        <f>$J$2*$D16*(1-2*Scenarios!$E$4)^$A16*Model!$J$4</f>
        <v>0.2301758039</v>
      </c>
      <c r="X16" s="19">
        <f>$J$2*$D16*(1-2*Scenarios!$E$5)^$A16*Model!$J$5</f>
        <v>0.2739226858</v>
      </c>
    </row>
    <row r="17">
      <c r="A17" s="6">
        <v>15.0</v>
      </c>
      <c r="B17" s="6">
        <v>3008.0</v>
      </c>
      <c r="C17" s="6">
        <v>107.0</v>
      </c>
      <c r="D17" s="10">
        <f t="shared" si="1"/>
        <v>0.03557180851</v>
      </c>
      <c r="E17" s="10">
        <f>$J$2*$D17*Model!$J$2</f>
        <v>0.1121273864</v>
      </c>
      <c r="F17" s="10">
        <f>$J$2*$D17*Model!$J$3</f>
        <v>0.3270382103</v>
      </c>
      <c r="G17" s="10">
        <f>$J$2*$D17*Model!$J$4</f>
        <v>0.7194840627</v>
      </c>
      <c r="H17" s="10">
        <f>$J$2*$D17*Model!$J$5</f>
        <v>0.4718694177</v>
      </c>
      <c r="I17" s="2"/>
      <c r="J17" s="2"/>
      <c r="K17" s="2"/>
      <c r="L17" s="10">
        <f>$D17*(1-Scenarios!$E$2)^$A17</f>
        <v>0.03557180851</v>
      </c>
      <c r="M17" s="10">
        <f>$D17*(1-Scenarios!$E$3)^$A17</f>
        <v>0.0305938311</v>
      </c>
      <c r="N17" s="10">
        <f>$D17*(1-Scenarios!$E$4)^$A17</f>
        <v>0.0192829929</v>
      </c>
      <c r="O17" s="10">
        <f>$D17*(1-Scenarios!$E$5)^$A17</f>
        <v>0.02627223869</v>
      </c>
      <c r="P17" s="10">
        <f>$J$2*L17*Model!$J$2</f>
        <v>0.1121273864</v>
      </c>
      <c r="Q17" s="10">
        <f>$J$2*M17*Model!$J$3</f>
        <v>0.2812719451</v>
      </c>
      <c r="R17" s="10">
        <f>$J$2*N17*Model!$J$4</f>
        <v>0.3900225109</v>
      </c>
      <c r="S17" s="10">
        <f>$J$2*O17*Model!$J$5</f>
        <v>0.3485081724</v>
      </c>
      <c r="T17" s="2"/>
      <c r="U17" s="19">
        <f>$J$2*$D17*(1-2*Scenarios!$E$2)^$A17*Model!$J$2</f>
        <v>0.1121273864</v>
      </c>
      <c r="V17" s="19">
        <f>$J$2*$D17*(1-2*Scenarios!$E$3)^$A17*Model!$J$3</f>
        <v>0.2415403175</v>
      </c>
      <c r="W17" s="19">
        <f>$J$2*$D17*(1-2*Scenarios!$E$4)^$A17*Model!$J$4</f>
        <v>0.2059864194</v>
      </c>
      <c r="X17" s="19">
        <f>$J$2*$D17*(1-2*Scenarios!$E$5)^$A17*Model!$J$5</f>
        <v>0.2557939844</v>
      </c>
    </row>
    <row r="18">
      <c r="A18" s="6">
        <v>16.0</v>
      </c>
      <c r="B18" s="6">
        <v>3008.0</v>
      </c>
      <c r="C18" s="6">
        <v>103.0</v>
      </c>
      <c r="D18" s="10">
        <f t="shared" si="1"/>
        <v>0.03424202128</v>
      </c>
      <c r="E18" s="10">
        <f>$J$2*$D18*Model!$J$2</f>
        <v>0.1079357084</v>
      </c>
      <c r="F18" s="10">
        <f>$J$2*$D18*Model!$J$3</f>
        <v>0.3148124828</v>
      </c>
      <c r="G18" s="10">
        <f>$J$2*$D18*Model!$J$4</f>
        <v>0.6925874622</v>
      </c>
      <c r="H18" s="10">
        <f>$J$2*$D18*Model!$J$5</f>
        <v>0.4542294395</v>
      </c>
      <c r="I18" s="2"/>
      <c r="J18" s="2"/>
      <c r="K18" s="2"/>
      <c r="L18" s="10">
        <f>$D18*(1-Scenarios!$E$2)^$A18</f>
        <v>0.03424202128</v>
      </c>
      <c r="M18" s="10">
        <f>$D18*(1-Scenarios!$E$3)^$A18</f>
        <v>0.02915563511</v>
      </c>
      <c r="N18" s="10">
        <f>$D18*(1-Scenarios!$E$4)^$A18</f>
        <v>0.01781964802</v>
      </c>
      <c r="O18" s="10">
        <f>$D18*(1-Scenarios!$E$5)^$A18</f>
        <v>0.02478429695</v>
      </c>
      <c r="P18" s="10">
        <f>$J$2*L18*Model!$J$2</f>
        <v>0.1079357084</v>
      </c>
      <c r="Q18" s="10">
        <f>$J$2*M18*Model!$J$3</f>
        <v>0.2680495349</v>
      </c>
      <c r="R18" s="10">
        <f>$J$2*N18*Model!$J$4</f>
        <v>0.3604245409</v>
      </c>
      <c r="S18" s="10">
        <f>$J$2*O18*Model!$J$5</f>
        <v>0.3287702329</v>
      </c>
      <c r="T18" s="2"/>
      <c r="U18" s="19">
        <f>$J$2*$D18*(1-2*Scenarios!$E$2)^$A18*Model!$J$2</f>
        <v>0.1079357084</v>
      </c>
      <c r="V18" s="19">
        <f>$J$2*$D18*(1-2*Scenarios!$E$3)^$A18*Model!$J$3</f>
        <v>0.2278605575</v>
      </c>
      <c r="W18" s="19">
        <f>$J$2*$D18*(1-2*Scenarios!$E$4)^$A18*Model!$J$4</f>
        <v>0.1824231131</v>
      </c>
      <c r="X18" s="19">
        <f>$J$2*$D18*(1-2*Scenarios!$E$5)^$A18*Model!$J$5</f>
        <v>0.2363823288</v>
      </c>
    </row>
    <row r="19">
      <c r="A19" s="6">
        <v>17.0</v>
      </c>
      <c r="B19" s="6">
        <v>3008.0</v>
      </c>
      <c r="C19" s="6">
        <v>96.0</v>
      </c>
      <c r="D19" s="10">
        <f t="shared" si="1"/>
        <v>0.03191489362</v>
      </c>
      <c r="E19" s="10">
        <f>$J$2*$D19*Model!$J$2</f>
        <v>0.1006002719</v>
      </c>
      <c r="F19" s="10">
        <f>$J$2*$D19*Model!$J$3</f>
        <v>0.2934174597</v>
      </c>
      <c r="G19" s="10">
        <f>$J$2*$D19*Model!$J$4</f>
        <v>0.6455184114</v>
      </c>
      <c r="H19" s="10">
        <f>$J$2*$D19*Model!$J$5</f>
        <v>0.4233594776</v>
      </c>
      <c r="I19" s="2"/>
      <c r="J19" s="2"/>
      <c r="K19" s="2"/>
      <c r="L19" s="10">
        <f>$D19*(1-Scenarios!$E$2)^$A19</f>
        <v>0.03191489362</v>
      </c>
      <c r="M19" s="10">
        <f>$D19*(1-Scenarios!$E$3)^$A19</f>
        <v>0.02690244234</v>
      </c>
      <c r="N19" s="10">
        <f>$D19*(1-Scenarios!$E$4)^$A19</f>
        <v>0.01594425982</v>
      </c>
      <c r="O19" s="10">
        <f>$D19*(1-Scenarios!$E$5)^$A19</f>
        <v>0.02263792871</v>
      </c>
      <c r="P19" s="10">
        <f>$J$2*L19*Model!$J$2</f>
        <v>0.1006002719</v>
      </c>
      <c r="Q19" s="10">
        <f>$J$2*M19*Model!$J$3</f>
        <v>0.2473342505</v>
      </c>
      <c r="R19" s="10">
        <f>$J$2*N19*Model!$J$4</f>
        <v>0.3224924824</v>
      </c>
      <c r="S19" s="10">
        <f>$J$2*O19*Model!$J$5</f>
        <v>0.3002980924</v>
      </c>
      <c r="T19" s="2"/>
      <c r="U19" s="19">
        <f>$J$2*$D19*(1-2*Scenarios!$E$2)^$A19*Model!$J$2</f>
        <v>0.1006002719</v>
      </c>
      <c r="V19" s="19">
        <f>$J$2*$D19*(1-2*Scenarios!$E$3)^$A19*Model!$J$3</f>
        <v>0.2081273907</v>
      </c>
      <c r="W19" s="19">
        <f>$J$2*$D19*(1-2*Scenarios!$E$4)^$A19*Model!$J$4</f>
        <v>0.1564233917</v>
      </c>
      <c r="X19" s="19">
        <f>$J$2*$D19*(1-2*Scenarios!$E$5)^$A19*Model!$J$5</f>
        <v>0.2115048099</v>
      </c>
    </row>
    <row r="20">
      <c r="A20" s="6">
        <v>18.0</v>
      </c>
      <c r="B20" s="6">
        <v>3008.0</v>
      </c>
      <c r="C20" s="6">
        <v>85.0</v>
      </c>
      <c r="D20" s="10">
        <f t="shared" si="1"/>
        <v>0.02825797872</v>
      </c>
      <c r="E20" s="10">
        <f>$J$2*$D20*Model!$J$2</f>
        <v>0.08907315741</v>
      </c>
      <c r="F20" s="10">
        <f>$J$2*$D20*Model!$J$3</f>
        <v>0.2597967091</v>
      </c>
      <c r="G20" s="10">
        <f>$J$2*$D20*Model!$J$4</f>
        <v>0.5715527601</v>
      </c>
      <c r="H20" s="10">
        <f>$J$2*$D20*Model!$J$5</f>
        <v>0.3748495374</v>
      </c>
      <c r="I20" s="2"/>
      <c r="J20" s="2"/>
      <c r="K20" s="2"/>
      <c r="L20" s="10">
        <f>$D20*(1-Scenarios!$E$2)^$A20</f>
        <v>0.02825797872</v>
      </c>
      <c r="M20" s="10">
        <f>$D20*(1-Scenarios!$E$3)^$A20</f>
        <v>0.02358167212</v>
      </c>
      <c r="N20" s="10">
        <f>$D20*(1-Scenarios!$E$4)^$A20</f>
        <v>0.01355262085</v>
      </c>
      <c r="O20" s="10">
        <f>$D20*(1-Scenarios!$E$5)^$A20</f>
        <v>0.01964311939</v>
      </c>
      <c r="P20" s="10">
        <f>$J$2*L20*Model!$J$2</f>
        <v>0.08907315741</v>
      </c>
      <c r="Q20" s="10">
        <f>$J$2*M20*Model!$J$3</f>
        <v>0.2168039289</v>
      </c>
      <c r="R20" s="10">
        <f>$J$2*N20*Model!$J$4</f>
        <v>0.2741186101</v>
      </c>
      <c r="S20" s="10">
        <f>$J$2*O20*Model!$J$5</f>
        <v>0.2605711572</v>
      </c>
      <c r="T20" s="2"/>
      <c r="U20" s="19">
        <f>$J$2*$D20*(1-2*Scenarios!$E$2)^$A20*Model!$J$2</f>
        <v>0.08907315741</v>
      </c>
      <c r="V20" s="19">
        <f>$J$2*$D20*(1-2*Scenarios!$E$3)^$A20*Model!$J$3</f>
        <v>0.1805938713</v>
      </c>
      <c r="W20" s="19">
        <f>$J$2*$D20*(1-2*Scenarios!$E$4)^$A20*Model!$J$4</f>
        <v>0.1274198879</v>
      </c>
      <c r="X20" s="19">
        <f>$J$2*$D20*(1-2*Scenarios!$E$5)^$A20*Model!$J$5</f>
        <v>0.1797790884</v>
      </c>
    </row>
    <row r="21">
      <c r="A21" s="6">
        <v>19.0</v>
      </c>
      <c r="B21" s="6">
        <v>3008.0</v>
      </c>
      <c r="C21" s="6">
        <v>99.0</v>
      </c>
      <c r="D21" s="10">
        <f t="shared" si="1"/>
        <v>0.03291223404</v>
      </c>
      <c r="E21" s="10">
        <f>$J$2*$D21*Model!$J$2</f>
        <v>0.1037440304</v>
      </c>
      <c r="F21" s="10">
        <f>$J$2*$D21*Model!$J$3</f>
        <v>0.3025867553</v>
      </c>
      <c r="G21" s="10">
        <f>$J$2*$D21*Model!$J$4</f>
        <v>0.6656908617</v>
      </c>
      <c r="H21" s="10">
        <f>$J$2*$D21*Model!$J$5</f>
        <v>0.4365894612</v>
      </c>
      <c r="I21" s="2"/>
      <c r="J21" s="2"/>
      <c r="K21" s="2"/>
      <c r="L21" s="10">
        <f>$D21*(1-Scenarios!$E$2)^$A21</f>
        <v>0.03291223404</v>
      </c>
      <c r="M21" s="10">
        <f>$D21*(1-Scenarios!$E$3)^$A21</f>
        <v>0.02719105511</v>
      </c>
      <c r="N21" s="10">
        <f>$D21*(1-Scenarios!$E$4)^$A21</f>
        <v>0.01515342453</v>
      </c>
      <c r="O21" s="10">
        <f>$D21*(1-Scenarios!$E$5)^$A21</f>
        <v>0.02242088757</v>
      </c>
      <c r="P21" s="10">
        <f>$J$2*L21*Model!$J$2</f>
        <v>0.1037440304</v>
      </c>
      <c r="Q21" s="10">
        <f>$J$2*M21*Model!$J$3</f>
        <v>0.2499876832</v>
      </c>
      <c r="R21" s="10">
        <f>$J$2*N21*Model!$J$4</f>
        <v>0.3064968553</v>
      </c>
      <c r="S21" s="10">
        <f>$J$2*O21*Model!$J$5</f>
        <v>0.2974189844</v>
      </c>
      <c r="T21" s="2"/>
      <c r="U21" s="19">
        <f>$J$2*$D21*(1-2*Scenarios!$E$2)^$A21*Model!$J$2</f>
        <v>0.1037440304</v>
      </c>
      <c r="V21" s="19">
        <f>$J$2*$D21*(1-2*Scenarios!$E$3)^$A21*Model!$J$3</f>
        <v>0.2061319694</v>
      </c>
      <c r="W21" s="19">
        <f>$J$2*$D21*(1-2*Scenarios!$E$4)^$A21*Model!$J$4</f>
        <v>0.1365341575</v>
      </c>
      <c r="X21" s="19">
        <f>$J$2*$D21*(1-2*Scenarios!$E$5)^$A21*Model!$J$5</f>
        <v>0.2010141713</v>
      </c>
    </row>
    <row r="22">
      <c r="A22" s="6">
        <v>20.0</v>
      </c>
      <c r="B22" s="6">
        <v>3008.0</v>
      </c>
      <c r="C22" s="6">
        <v>99.0</v>
      </c>
      <c r="D22" s="10">
        <f t="shared" si="1"/>
        <v>0.03291223404</v>
      </c>
      <c r="E22" s="10">
        <f>$J$2*$D22*Model!$J$2</f>
        <v>0.1037440304</v>
      </c>
      <c r="F22" s="10">
        <f>$J$2*$D22*Model!$J$3</f>
        <v>0.3025867553</v>
      </c>
      <c r="G22" s="10">
        <f>$J$2*$D22*Model!$J$4</f>
        <v>0.6656908617</v>
      </c>
      <c r="H22" s="10">
        <f>$J$2*$D22*Model!$J$5</f>
        <v>0.4365894612</v>
      </c>
      <c r="I22" s="2"/>
      <c r="J22" s="2"/>
      <c r="K22" s="2"/>
      <c r="L22" s="10">
        <f>$D22*(1-Scenarios!$E$2)^$A22</f>
        <v>0.03291223404</v>
      </c>
      <c r="M22" s="10">
        <f>$D22*(1-Scenarios!$E$3)^$A22</f>
        <v>0.02691914456</v>
      </c>
      <c r="N22" s="10">
        <f>$D22*(1-Scenarios!$E$4)^$A22</f>
        <v>0.01454728755</v>
      </c>
      <c r="O22" s="10">
        <f>$D22*(1-Scenarios!$E$5)^$A22</f>
        <v>0.02197246982</v>
      </c>
      <c r="P22" s="10">
        <f>$J$2*L22*Model!$J$2</f>
        <v>0.1037440304</v>
      </c>
      <c r="Q22" s="10">
        <f>$J$2*M22*Model!$J$3</f>
        <v>0.2474878064</v>
      </c>
      <c r="R22" s="10">
        <f>$J$2*N22*Model!$J$4</f>
        <v>0.2942369811</v>
      </c>
      <c r="S22" s="10">
        <f>$J$2*O22*Model!$J$5</f>
        <v>0.2914706047</v>
      </c>
      <c r="T22" s="2"/>
      <c r="U22" s="19">
        <f>$J$2*$D22*(1-2*Scenarios!$E$2)^$A22*Model!$J$2</f>
        <v>0.1037440304</v>
      </c>
      <c r="V22" s="19">
        <f>$J$2*$D22*(1-2*Scenarios!$E$3)^$A22*Model!$J$3</f>
        <v>0.20200933</v>
      </c>
      <c r="W22" s="19">
        <f>$J$2*$D22*(1-2*Scenarios!$E$4)^$A22*Model!$J$4</f>
        <v>0.1256114249</v>
      </c>
      <c r="X22" s="19">
        <f>$J$2*$D22*(1-2*Scenarios!$E$5)^$A22*Model!$J$5</f>
        <v>0.1929736045</v>
      </c>
    </row>
    <row r="23">
      <c r="A23" s="6">
        <v>21.0</v>
      </c>
      <c r="B23" s="6">
        <v>3008.0</v>
      </c>
      <c r="C23" s="6">
        <v>79.0</v>
      </c>
      <c r="D23" s="10">
        <f t="shared" si="1"/>
        <v>0.02626329787</v>
      </c>
      <c r="E23" s="10">
        <f>$J$2*$D23*Model!$J$2</f>
        <v>0.08278564042</v>
      </c>
      <c r="F23" s="10">
        <f>$J$2*$D23*Model!$J$3</f>
        <v>0.2414581179</v>
      </c>
      <c r="G23" s="10">
        <f>$J$2*$D23*Model!$J$4</f>
        <v>0.5312078593</v>
      </c>
      <c r="H23" s="10">
        <f>$J$2*$D23*Model!$J$5</f>
        <v>0.3483895701</v>
      </c>
      <c r="I23" s="2"/>
      <c r="J23" s="2"/>
      <c r="K23" s="2"/>
      <c r="L23" s="10">
        <f>$D23*(1-Scenarios!$E$2)^$A23</f>
        <v>0.02626329787</v>
      </c>
      <c r="M23" s="10">
        <f>$D23*(1-Scenarios!$E$3)^$A23</f>
        <v>0.0212661242</v>
      </c>
      <c r="N23" s="10">
        <f>$D23*(1-Scenarios!$E$4)^$A23</f>
        <v>0.01114410392</v>
      </c>
      <c r="O23" s="10">
        <f>$D23*(1-Scenarios!$E$5)^$A23</f>
        <v>0.01718291528</v>
      </c>
      <c r="P23" s="10">
        <f>$J$2*L23*Model!$J$2</f>
        <v>0.08278564042</v>
      </c>
      <c r="Q23" s="10">
        <f>$J$2*M23*Model!$J$3</f>
        <v>0.1955153671</v>
      </c>
      <c r="R23" s="10">
        <f>$J$2*N23*Model!$J$4</f>
        <v>0.2254033601</v>
      </c>
      <c r="S23" s="10">
        <f>$J$2*O23*Model!$J$5</f>
        <v>0.2279359012</v>
      </c>
      <c r="T23" s="2"/>
      <c r="U23" s="19">
        <f>$J$2*$D23*(1-2*Scenarios!$E$2)^$A23*Model!$J$2</f>
        <v>0.08278564042</v>
      </c>
      <c r="V23" s="19">
        <f>$J$2*$D23*(1-2*Scenarios!$E$3)^$A23*Model!$J$3</f>
        <v>0.1579753771</v>
      </c>
      <c r="W23" s="19">
        <f>$J$2*$D23*(1-2*Scenarios!$E$4)^$A23*Model!$J$4</f>
        <v>0.0922165491</v>
      </c>
      <c r="X23" s="19">
        <f>$J$2*$D23*(1-2*Scenarios!$E$5)^$A23*Model!$J$5</f>
        <v>0.1478294764</v>
      </c>
    </row>
    <row r="24">
      <c r="A24" s="6">
        <v>22.0</v>
      </c>
      <c r="B24" s="6">
        <v>3008.0</v>
      </c>
      <c r="C24" s="6">
        <v>77.0</v>
      </c>
      <c r="D24" s="10">
        <f t="shared" si="1"/>
        <v>0.02559840426</v>
      </c>
      <c r="E24" s="10">
        <f>$J$2*$D24*Model!$J$2</f>
        <v>0.08068980142</v>
      </c>
      <c r="F24" s="10">
        <f>$J$2*$D24*Model!$J$3</f>
        <v>0.2353452541</v>
      </c>
      <c r="G24" s="10">
        <f>$J$2*$D24*Model!$J$4</f>
        <v>0.5177595591</v>
      </c>
      <c r="H24" s="10">
        <f>$J$2*$D24*Model!$J$5</f>
        <v>0.339569581</v>
      </c>
      <c r="I24" s="2"/>
      <c r="J24" s="2"/>
      <c r="K24" s="2"/>
      <c r="L24" s="10">
        <f>$D24*(1-Scenarios!$E$2)^$A24</f>
        <v>0.02559840426</v>
      </c>
      <c r="M24" s="10">
        <f>$D24*(1-Scenarios!$E$3)^$A24</f>
        <v>0.02052046389</v>
      </c>
      <c r="N24" s="10">
        <f>$D24*(1-Scenarios!$E$4)^$A24</f>
        <v>0.01042749572</v>
      </c>
      <c r="O24" s="10">
        <f>$D24*(1-Scenarios!$E$5)^$A24</f>
        <v>0.01641294667</v>
      </c>
      <c r="P24" s="10">
        <f>$J$2*L24*Model!$J$2</f>
        <v>0.08068980142</v>
      </c>
      <c r="Q24" s="10">
        <f>$J$2*M24*Model!$J$3</f>
        <v>0.1886599548</v>
      </c>
      <c r="R24" s="10">
        <f>$J$2*N24*Model!$J$4</f>
        <v>0.210909068</v>
      </c>
      <c r="S24" s="10">
        <f>$J$2*O24*Model!$J$5</f>
        <v>0.2177220646</v>
      </c>
      <c r="T24" s="2"/>
      <c r="U24" s="19">
        <f>$J$2*$D24*(1-2*Scenarios!$E$2)^$A24*Model!$J$2</f>
        <v>0.08068980142</v>
      </c>
      <c r="V24" s="19">
        <f>$J$2*$D24*(1-2*Scenarios!$E$3)^$A24*Model!$J$3</f>
        <v>0.1508964804</v>
      </c>
      <c r="W24" s="19">
        <f>$J$2*$D24*(1-2*Scenarios!$E$4)^$A24*Model!$J$4</f>
        <v>0.08269139669</v>
      </c>
      <c r="X24" s="19">
        <f>$J$2*$D24*(1-2*Scenarios!$E$5)^$A24*Model!$J$5</f>
        <v>0.1383234797</v>
      </c>
    </row>
    <row r="25">
      <c r="A25" s="6">
        <v>23.0</v>
      </c>
      <c r="B25" s="6">
        <v>3008.0</v>
      </c>
      <c r="C25" s="6">
        <v>73.0</v>
      </c>
      <c r="D25" s="10">
        <f t="shared" si="1"/>
        <v>0.02426861702</v>
      </c>
      <c r="E25" s="10">
        <f>$J$2*$D25*Model!$J$2</f>
        <v>0.07649812342</v>
      </c>
      <c r="F25" s="10">
        <f>$J$2*$D25*Model!$J$3</f>
        <v>0.2231195267</v>
      </c>
      <c r="G25" s="10">
        <f>$J$2*$D25*Model!$J$4</f>
        <v>0.4908629586</v>
      </c>
      <c r="H25" s="10">
        <f>$J$2*$D25*Model!$J$5</f>
        <v>0.3219296027</v>
      </c>
      <c r="I25" s="2"/>
      <c r="J25" s="2"/>
      <c r="K25" s="2"/>
      <c r="L25" s="10">
        <f>$D25*(1-Scenarios!$E$2)^$A25</f>
        <v>0.02426861702</v>
      </c>
      <c r="M25" s="10">
        <f>$D25*(1-Scenarios!$E$3)^$A25</f>
        <v>0.01925992111</v>
      </c>
      <c r="N25" s="10">
        <f>$D25*(1-Scenarios!$E$4)^$A25</f>
        <v>0.009490375322</v>
      </c>
      <c r="O25" s="10">
        <f>$D25*(1-Scenarios!$E$5)^$A25</f>
        <v>0.01524911955</v>
      </c>
      <c r="P25" s="10">
        <f>$J$2*L25*Model!$J$2</f>
        <v>0.07649812342</v>
      </c>
      <c r="Q25" s="10">
        <f>$J$2*M25*Model!$J$3</f>
        <v>0.1770708433</v>
      </c>
      <c r="R25" s="10">
        <f>$J$2*N25*Model!$J$4</f>
        <v>0.1919546427</v>
      </c>
      <c r="S25" s="10">
        <f>$J$2*O25*Model!$J$5</f>
        <v>0.2022835909</v>
      </c>
      <c r="T25" s="2"/>
      <c r="U25" s="19">
        <f>$J$2*$D25*(1-2*Scenarios!$E$2)^$A25*Model!$J$2</f>
        <v>0.07649812342</v>
      </c>
      <c r="V25" s="19">
        <f>$J$2*$D25*(1-2*Scenarios!$E$3)^$A25*Model!$J$3</f>
        <v>0.1401965482</v>
      </c>
      <c r="W25" s="19">
        <f>$J$2*$D25*(1-2*Scenarios!$E$4)^$A25*Model!$J$4</f>
        <v>0.07212408054</v>
      </c>
      <c r="X25" s="19">
        <f>$J$2*$D25*(1-2*Scenarios!$E$5)^$A25*Model!$J$5</f>
        <v>0.1258923306</v>
      </c>
    </row>
    <row r="26">
      <c r="A26" s="6">
        <v>24.0</v>
      </c>
      <c r="B26" s="6">
        <v>3008.0</v>
      </c>
      <c r="C26" s="6">
        <v>64.0</v>
      </c>
      <c r="D26" s="10">
        <f t="shared" si="1"/>
        <v>0.02127659574</v>
      </c>
      <c r="E26" s="10">
        <f>$J$2*$D26*Model!$J$2</f>
        <v>0.06706684793</v>
      </c>
      <c r="F26" s="10">
        <f>$J$2*$D26*Model!$J$3</f>
        <v>0.1956116398</v>
      </c>
      <c r="G26" s="10">
        <f>$J$2*$D26*Model!$J$4</f>
        <v>0.4303456076</v>
      </c>
      <c r="H26" s="10">
        <f>$J$2*$D26*Model!$J$5</f>
        <v>0.2822396517</v>
      </c>
      <c r="I26" s="2"/>
      <c r="J26" s="2"/>
      <c r="K26" s="2"/>
      <c r="L26" s="10">
        <f>$D26*(1-Scenarios!$E$2)^$A26</f>
        <v>0.02127659574</v>
      </c>
      <c r="M26" s="10">
        <f>$D26*(1-Scenarios!$E$3)^$A26</f>
        <v>0.01671655619</v>
      </c>
      <c r="N26" s="10">
        <f>$D26*(1-Scenarios!$E$4)^$A26</f>
        <v>0.007987515888</v>
      </c>
      <c r="O26" s="10">
        <f>$D26*(1-Scenarios!$E$5)^$A26</f>
        <v>0.01310170929</v>
      </c>
      <c r="P26" s="10">
        <f>$J$2*L26*Model!$J$2</f>
        <v>0.06706684793</v>
      </c>
      <c r="Q26" s="10">
        <f>$J$2*M26*Model!$J$3</f>
        <v>0.1536877895</v>
      </c>
      <c r="R26" s="10">
        <f>$J$2*N26*Model!$J$4</f>
        <v>0.1615574418</v>
      </c>
      <c r="S26" s="10">
        <f>$J$2*O26*Model!$J$5</f>
        <v>0.1737976277</v>
      </c>
      <c r="T26" s="2"/>
      <c r="U26" s="19">
        <f>$J$2*$D26*(1-2*Scenarios!$E$2)^$A26*Model!$J$2</f>
        <v>0.06706684793</v>
      </c>
      <c r="V26" s="19">
        <f>$J$2*$D26*(1-2*Scenarios!$E$3)^$A26*Model!$J$3</f>
        <v>0.1204538014</v>
      </c>
      <c r="W26" s="19">
        <f>$J$2*$D26*(1-2*Scenarios!$E$4)^$A26*Model!$J$4</f>
        <v>0.05817350496</v>
      </c>
      <c r="X26" s="19">
        <f>$J$2*$D26*(1-2*Scenarios!$E$5)^$A26*Model!$J$5</f>
        <v>0.105956504</v>
      </c>
    </row>
    <row r="27">
      <c r="A27" s="6">
        <v>25.0</v>
      </c>
      <c r="B27" s="6">
        <v>3008.0</v>
      </c>
      <c r="C27" s="6">
        <v>61.0</v>
      </c>
      <c r="D27" s="10">
        <f t="shared" si="1"/>
        <v>0.02027925532</v>
      </c>
      <c r="E27" s="10">
        <f>$J$2*$D27*Model!$J$2</f>
        <v>0.06392308944</v>
      </c>
      <c r="F27" s="10">
        <f>$J$2*$D27*Model!$J$3</f>
        <v>0.1864423442</v>
      </c>
      <c r="G27" s="10">
        <f>$J$2*$D27*Model!$J$4</f>
        <v>0.4101731572</v>
      </c>
      <c r="H27" s="10">
        <f>$J$2*$D27*Model!$J$5</f>
        <v>0.269009668</v>
      </c>
      <c r="I27" s="2"/>
      <c r="J27" s="2"/>
      <c r="K27" s="2"/>
      <c r="L27" s="10">
        <f>$D27*(1-Scenarios!$E$2)^$A27</f>
        <v>0.02027925532</v>
      </c>
      <c r="M27" s="10">
        <f>$D27*(1-Scenarios!$E$3)^$A27</f>
        <v>0.01577363794</v>
      </c>
      <c r="N27" s="10">
        <f>$D27*(1-Scenarios!$E$4)^$A27</f>
        <v>0.007308577037</v>
      </c>
      <c r="O27" s="10">
        <f>$D27*(1-Scenarios!$E$5)^$A27</f>
        <v>0.01223781533</v>
      </c>
      <c r="P27" s="10">
        <f>$J$2*L27*Model!$J$2</f>
        <v>0.06392308944</v>
      </c>
      <c r="Q27" s="10">
        <f>$J$2*M27*Model!$J$3</f>
        <v>0.1450188376</v>
      </c>
      <c r="R27" s="10">
        <f>$J$2*N27*Model!$J$4</f>
        <v>0.1478250592</v>
      </c>
      <c r="S27" s="10">
        <f>$J$2*O27*Model!$J$5</f>
        <v>0.1623378466</v>
      </c>
      <c r="T27" s="2"/>
      <c r="U27" s="19">
        <f>$J$2*$D27*(1-2*Scenarios!$E$2)^$A27*Model!$J$2</f>
        <v>0.06392308944</v>
      </c>
      <c r="V27" s="19">
        <f>$J$2*$D27*(1-2*Scenarios!$E$3)^$A27*Model!$J$3</f>
        <v>0.1125113789</v>
      </c>
      <c r="W27" s="19">
        <f>$J$2*$D27*(1-2*Scenarios!$E$4)^$A27*Model!$J$4</f>
        <v>0.05101089216</v>
      </c>
      <c r="X27" s="19">
        <f>$J$2*$D27*(1-2*Scenarios!$E$5)^$A27*Model!$J$5</f>
        <v>0.09695020117</v>
      </c>
    </row>
    <row r="28">
      <c r="A28" s="6">
        <v>26.0</v>
      </c>
      <c r="B28" s="6">
        <v>3008.0</v>
      </c>
      <c r="C28" s="6">
        <v>66.0</v>
      </c>
      <c r="D28" s="10">
        <f t="shared" si="1"/>
        <v>0.02194148936</v>
      </c>
      <c r="E28" s="10">
        <f>$J$2*$D28*Model!$J$2</f>
        <v>0.06916268693</v>
      </c>
      <c r="F28" s="10">
        <f>$J$2*$D28*Model!$J$3</f>
        <v>0.2017245035</v>
      </c>
      <c r="G28" s="10">
        <f>$J$2*$D28*Model!$J$4</f>
        <v>0.4437939078</v>
      </c>
      <c r="H28" s="10">
        <f>$J$2*$D28*Model!$J$5</f>
        <v>0.2910596408</v>
      </c>
      <c r="I28" s="2"/>
      <c r="J28" s="2"/>
      <c r="K28" s="2"/>
      <c r="L28" s="10">
        <f>$D28*(1-Scenarios!$E$2)^$A28</f>
        <v>0.02194148936</v>
      </c>
      <c r="M28" s="10">
        <f>$D28*(1-Scenarios!$E$3)^$A28</f>
        <v>0.01689589349</v>
      </c>
      <c r="N28" s="10">
        <f>$D28*(1-Scenarios!$E$4)^$A28</f>
        <v>0.0075913351</v>
      </c>
      <c r="O28" s="10">
        <f>$D28*(1-Scenarios!$E$5)^$A28</f>
        <v>0.01297609665</v>
      </c>
      <c r="P28" s="10">
        <f>$J$2*L28*Model!$J$2</f>
        <v>0.06916268693</v>
      </c>
      <c r="Q28" s="10">
        <f>$J$2*M28*Model!$J$3</f>
        <v>0.1553365713</v>
      </c>
      <c r="R28" s="10">
        <f>$J$2*N28*Model!$J$4</f>
        <v>0.1535441926</v>
      </c>
      <c r="S28" s="10">
        <f>$J$2*O28*Model!$J$5</f>
        <v>0.172131343</v>
      </c>
      <c r="T28" s="2"/>
      <c r="U28" s="19">
        <f>$J$2*$D28*(1-2*Scenarios!$E$2)^$A28*Model!$J$2</f>
        <v>0.06916268693</v>
      </c>
      <c r="V28" s="19">
        <f>$J$2*$D28*(1-2*Scenarios!$E$3)^$A28*Model!$J$3</f>
        <v>0.1192989506</v>
      </c>
      <c r="W28" s="19">
        <f>$J$2*$D28*(1-2*Scenarios!$E$4)^$A28*Model!$J$4</f>
        <v>0.0507767438</v>
      </c>
      <c r="X28" s="19">
        <f>$J$2*$D28*(1-2*Scenarios!$E$5)^$A28*Model!$J$5</f>
        <v>0.1007010614</v>
      </c>
    </row>
    <row r="29">
      <c r="A29" s="6">
        <v>27.0</v>
      </c>
      <c r="B29" s="6">
        <v>3008.0</v>
      </c>
      <c r="C29" s="6">
        <v>51.0</v>
      </c>
      <c r="D29" s="10">
        <f t="shared" si="1"/>
        <v>0.01695478723</v>
      </c>
      <c r="E29" s="10">
        <f>$J$2*$D29*Model!$J$2</f>
        <v>0.05344389445</v>
      </c>
      <c r="F29" s="10">
        <f>$J$2*$D29*Model!$J$3</f>
        <v>0.1558780255</v>
      </c>
      <c r="G29" s="10">
        <f>$J$2*$D29*Model!$J$4</f>
        <v>0.342931656</v>
      </c>
      <c r="H29" s="10">
        <f>$J$2*$D29*Model!$J$5</f>
        <v>0.2249097225</v>
      </c>
      <c r="I29" s="2"/>
      <c r="J29" s="2"/>
      <c r="K29" s="2"/>
      <c r="L29" s="10">
        <f>$D29*(1-Scenarios!$E$2)^$A29</f>
        <v>0.01695478723</v>
      </c>
      <c r="M29" s="10">
        <f>$D29*(1-Scenarios!$E$3)^$A29</f>
        <v>0.01292535852</v>
      </c>
      <c r="N29" s="10">
        <f>$D29*(1-Scenarios!$E$4)^$A29</f>
        <v>0.005631390401</v>
      </c>
      <c r="O29" s="10">
        <f>$D29*(1-Scenarios!$E$5)^$A29</f>
        <v>0.009826444099</v>
      </c>
      <c r="P29" s="10">
        <f>$J$2*L29*Model!$J$2</f>
        <v>0.05344389445</v>
      </c>
      <c r="Q29" s="10">
        <f>$J$2*M29*Model!$J$3</f>
        <v>0.118832477</v>
      </c>
      <c r="R29" s="10">
        <f>$J$2*N29*Model!$J$4</f>
        <v>0.1139018738</v>
      </c>
      <c r="S29" s="10">
        <f>$J$2*O29*Model!$J$5</f>
        <v>0.1303503715</v>
      </c>
      <c r="T29" s="2"/>
      <c r="U29" s="19">
        <f>$J$2*$D29*(1-2*Scenarios!$E$2)^$A29*Model!$J$2</f>
        <v>0.05344389445</v>
      </c>
      <c r="V29" s="19">
        <f>$J$2*$D29*(1-2*Scenarios!$E$3)^$A29*Model!$J$3</f>
        <v>0.09034184165</v>
      </c>
      <c r="W29" s="19">
        <f>$J$2*$D29*(1-2*Scenarios!$E$4)^$A29*Model!$J$4</f>
        <v>0.03609764878</v>
      </c>
      <c r="X29" s="19">
        <f>$J$2*$D29*(1-2*Scenarios!$E$5)^$A29*Model!$J$5</f>
        <v>0.07470187828</v>
      </c>
    </row>
    <row r="30">
      <c r="A30" s="6">
        <v>28.0</v>
      </c>
      <c r="B30" s="6">
        <v>3008.0</v>
      </c>
      <c r="C30" s="6">
        <v>65.0</v>
      </c>
      <c r="D30" s="10">
        <f t="shared" si="1"/>
        <v>0.02160904255</v>
      </c>
      <c r="E30" s="10">
        <f>$J$2*$D30*Model!$J$2</f>
        <v>0.06811476743</v>
      </c>
      <c r="F30" s="10">
        <f>$J$2*$D30*Model!$J$3</f>
        <v>0.1986680717</v>
      </c>
      <c r="G30" s="10">
        <f>$J$2*$D30*Model!$J$4</f>
        <v>0.4370697577</v>
      </c>
      <c r="H30" s="10">
        <f>$J$2*$D30*Model!$J$5</f>
        <v>0.2866496463</v>
      </c>
      <c r="I30" s="2"/>
      <c r="J30" s="2"/>
      <c r="K30" s="2"/>
      <c r="L30" s="10">
        <f>$D30*(1-Scenarios!$E$2)^$A30</f>
        <v>0.02160904255</v>
      </c>
      <c r="M30" s="10">
        <f>$D30*(1-Scenarios!$E$3)^$A30</f>
        <v>0.01630876119</v>
      </c>
      <c r="N30" s="10">
        <f>$D30*(1-Scenarios!$E$4)^$A30</f>
        <v>0.006890171785</v>
      </c>
      <c r="O30" s="10">
        <f>$D30*(1-Scenarios!$E$5)^$A30</f>
        <v>0.01227342136</v>
      </c>
      <c r="P30" s="10">
        <f>$J$2*L30*Model!$J$2</f>
        <v>0.06811476743</v>
      </c>
      <c r="Q30" s="10">
        <f>$J$2*M30*Model!$J$3</f>
        <v>0.1499386254</v>
      </c>
      <c r="R30" s="10">
        <f>$J$2*N30*Model!$J$4</f>
        <v>0.1393622927</v>
      </c>
      <c r="S30" s="10">
        <f>$J$2*O30*Model!$J$5</f>
        <v>0.1628101699</v>
      </c>
      <c r="T30" s="2"/>
      <c r="U30" s="19">
        <f>$J$2*$D30*(1-2*Scenarios!$E$2)^$A30*Model!$J$2</f>
        <v>0.06811476743</v>
      </c>
      <c r="V30" s="19">
        <f>$J$2*$D30*(1-2*Scenarios!$E$3)^$A30*Model!$J$3</f>
        <v>0.1128387316</v>
      </c>
      <c r="W30" s="19">
        <f>$J$2*$D30*(1-2*Scenarios!$E$4)^$A30*Model!$J$4</f>
        <v>0.04232626268</v>
      </c>
      <c r="X30" s="19">
        <f>$J$2*$D30*(1-2*Scenarios!$E$5)^$A30*Model!$J$5</f>
        <v>0.09139994519</v>
      </c>
    </row>
    <row r="31">
      <c r="A31" s="6">
        <v>29.0</v>
      </c>
      <c r="B31" s="6">
        <v>3008.0</v>
      </c>
      <c r="C31" s="6">
        <v>56.0</v>
      </c>
      <c r="D31" s="10">
        <f t="shared" si="1"/>
        <v>0.01861702128</v>
      </c>
      <c r="E31" s="10">
        <f>$J$2*$D31*Model!$J$2</f>
        <v>0.05868349194</v>
      </c>
      <c r="F31" s="10">
        <f>$J$2*$D31*Model!$J$3</f>
        <v>0.1711601848</v>
      </c>
      <c r="G31" s="10">
        <f>$J$2*$D31*Model!$J$4</f>
        <v>0.3765524066</v>
      </c>
      <c r="H31" s="10">
        <f>$J$2*$D31*Model!$J$5</f>
        <v>0.2469596953</v>
      </c>
      <c r="I31" s="2"/>
      <c r="J31" s="2"/>
      <c r="K31" s="2"/>
      <c r="L31" s="10">
        <f>$D31*(1-Scenarios!$E$2)^$A31</f>
        <v>0.01861702128</v>
      </c>
      <c r="M31" s="10">
        <f>$D31*(1-Scenarios!$E$3)^$A31</f>
        <v>0.01391011878</v>
      </c>
      <c r="N31" s="10">
        <f>$D31*(1-Scenarios!$E$4)^$A31</f>
        <v>0.005698702079</v>
      </c>
      <c r="O31" s="10">
        <f>$D31*(1-Scenarios!$E$5)^$A31</f>
        <v>0.01036254406</v>
      </c>
      <c r="P31" s="10">
        <f>$J$2*L31*Model!$J$2</f>
        <v>0.05868349194</v>
      </c>
      <c r="Q31" s="10">
        <f>$J$2*M31*Model!$J$3</f>
        <v>0.1278861138</v>
      </c>
      <c r="R31" s="10">
        <f>$J$2*N31*Model!$J$4</f>
        <v>0.1152633362</v>
      </c>
      <c r="S31" s="10">
        <f>$J$2*O31*Model!$J$5</f>
        <v>0.1374618789</v>
      </c>
      <c r="T31" s="2"/>
      <c r="U31" s="19">
        <f>$J$2*$D31*(1-2*Scenarios!$E$2)^$A31*Model!$J$2</f>
        <v>0.05868349194</v>
      </c>
      <c r="V31" s="19">
        <f>$J$2*$D31*(1-2*Scenarios!$E$3)^$A31*Model!$J$3</f>
        <v>0.09527060911</v>
      </c>
      <c r="W31" s="19">
        <f>$J$2*$D31*(1-2*Scenarios!$E$4)^$A31*Model!$J$4</f>
        <v>0.03354844698</v>
      </c>
      <c r="X31" s="19">
        <f>$J$2*$D31*(1-2*Scenarios!$E$5)^$A31*Model!$J$5</f>
        <v>0.07559478544</v>
      </c>
    </row>
    <row r="32">
      <c r="A32" s="10"/>
      <c r="B32" s="10"/>
      <c r="C32" s="10"/>
      <c r="D32" s="6" t="s">
        <v>80</v>
      </c>
      <c r="E32" s="10">
        <f t="shared" ref="E32:H32" si="2">SUM(E2:E31)</f>
        <v>7.662387376</v>
      </c>
      <c r="F32" s="10">
        <f t="shared" si="2"/>
        <v>22.34862985</v>
      </c>
      <c r="G32" s="10">
        <f t="shared" si="2"/>
        <v>49.16698566</v>
      </c>
      <c r="H32" s="10">
        <f t="shared" si="2"/>
        <v>32.24588021</v>
      </c>
      <c r="I32" s="2"/>
      <c r="J32" s="2"/>
      <c r="K32" s="2"/>
      <c r="L32" s="10"/>
      <c r="M32" s="10"/>
      <c r="N32" s="10"/>
      <c r="O32" s="6" t="s">
        <v>81</v>
      </c>
      <c r="P32" s="10">
        <f t="shared" ref="P32:S32" si="3">SUM(P2:P31)</f>
        <v>7.662387376</v>
      </c>
      <c r="Q32" s="10">
        <f t="shared" si="3"/>
        <v>21.17585645</v>
      </c>
      <c r="R32" s="10">
        <f t="shared" si="3"/>
        <v>40.77955494</v>
      </c>
      <c r="S32" s="10">
        <f t="shared" si="3"/>
        <v>29.09786697</v>
      </c>
      <c r="T32" s="2"/>
      <c r="U32" s="19">
        <f t="shared" ref="U32:X32" si="4">SUM(U2:U31)</f>
        <v>7.662387376</v>
      </c>
      <c r="V32" s="19">
        <f t="shared" si="4"/>
        <v>20.16683849</v>
      </c>
      <c r="W32" s="19">
        <f t="shared" si="4"/>
        <v>35.90735061</v>
      </c>
      <c r="X32" s="19">
        <f t="shared" si="4"/>
        <v>26.74503279</v>
      </c>
    </row>
    <row r="33">
      <c r="A33" s="2"/>
      <c r="B33" s="2"/>
      <c r="C33" s="2"/>
      <c r="D33" s="2"/>
      <c r="E33" s="2"/>
      <c r="F33" s="2"/>
      <c r="G33" s="2"/>
      <c r="H33" s="2"/>
      <c r="I33" s="2"/>
      <c r="J33" s="2"/>
      <c r="K33" s="2"/>
      <c r="L33" s="2"/>
      <c r="M33" s="2"/>
      <c r="N33" s="2"/>
      <c r="O33" s="2"/>
      <c r="P33" s="2"/>
      <c r="Q33" s="2"/>
      <c r="R33" s="2"/>
      <c r="S33" s="2"/>
      <c r="T33" s="2"/>
    </row>
    <row r="34">
      <c r="A34" s="28" t="s">
        <v>82</v>
      </c>
      <c r="I34" s="2"/>
      <c r="J34" s="2"/>
      <c r="K34" s="2"/>
      <c r="L34" s="3" t="s">
        <v>83</v>
      </c>
      <c r="T34" s="2"/>
    </row>
    <row r="35">
      <c r="A35" s="2"/>
      <c r="B35" s="2"/>
      <c r="C35" s="2"/>
      <c r="D35" s="2"/>
      <c r="E35" s="2"/>
      <c r="F35" s="2"/>
      <c r="G35" s="2"/>
      <c r="H35" s="2"/>
      <c r="I35" s="2"/>
      <c r="J35" s="2"/>
      <c r="K35" s="2"/>
      <c r="L35" s="2"/>
      <c r="M35" s="2"/>
      <c r="N35" s="2"/>
      <c r="O35" s="2"/>
      <c r="P35" s="2"/>
      <c r="Q35" s="2"/>
      <c r="R35" s="2"/>
      <c r="S35" s="2"/>
      <c r="T35" s="2"/>
    </row>
    <row r="36">
      <c r="A36" s="2"/>
      <c r="B36" s="2"/>
      <c r="C36" s="2"/>
      <c r="D36" s="2"/>
      <c r="E36" s="2"/>
      <c r="F36" s="2"/>
      <c r="G36" s="2"/>
      <c r="H36" s="2"/>
      <c r="I36" s="2"/>
      <c r="J36" s="2"/>
      <c r="K36" s="2"/>
      <c r="L36" s="2"/>
      <c r="M36" s="2"/>
      <c r="N36" s="2"/>
      <c r="O36" s="2"/>
      <c r="P36" s="2"/>
      <c r="Q36" s="2"/>
      <c r="R36" s="2"/>
      <c r="S36" s="2"/>
      <c r="T36" s="2"/>
    </row>
    <row r="37">
      <c r="A37" s="2"/>
      <c r="B37" s="2"/>
      <c r="C37" s="2"/>
      <c r="D37" s="2"/>
      <c r="E37" s="2"/>
      <c r="F37" s="2"/>
      <c r="G37" s="2"/>
      <c r="H37" s="2"/>
      <c r="I37" s="2"/>
      <c r="J37" s="2"/>
      <c r="K37" s="2"/>
      <c r="L37" s="2"/>
      <c r="M37" s="2"/>
      <c r="N37" s="2"/>
      <c r="O37" s="2"/>
      <c r="P37" s="2"/>
      <c r="Q37" s="2"/>
      <c r="R37" s="2"/>
      <c r="S37" s="2"/>
      <c r="T37" s="2"/>
    </row>
    <row r="38">
      <c r="A38" s="2"/>
      <c r="B38" s="2"/>
      <c r="C38" s="2"/>
      <c r="D38" s="2"/>
      <c r="E38" s="2"/>
      <c r="F38" s="2"/>
      <c r="G38" s="2"/>
      <c r="H38" s="2"/>
      <c r="I38" s="2"/>
      <c r="J38" s="2"/>
      <c r="K38" s="2"/>
      <c r="L38" s="2"/>
      <c r="M38" s="2"/>
      <c r="N38" s="2"/>
      <c r="O38" s="2"/>
      <c r="P38" s="2"/>
      <c r="Q38" s="2"/>
      <c r="R38" s="2"/>
      <c r="S38" s="2"/>
      <c r="T38" s="2"/>
    </row>
    <row r="39">
      <c r="A39" s="2"/>
      <c r="B39" s="2"/>
      <c r="C39" s="2"/>
      <c r="D39" s="2"/>
      <c r="E39" s="2"/>
      <c r="F39" s="2"/>
      <c r="G39" s="2"/>
      <c r="H39" s="2"/>
      <c r="I39" s="2"/>
      <c r="J39" s="2"/>
      <c r="K39" s="2"/>
      <c r="L39" s="2"/>
      <c r="M39" s="2"/>
      <c r="N39" s="2"/>
      <c r="O39" s="2"/>
      <c r="P39" s="2"/>
      <c r="Q39" s="2"/>
      <c r="R39" s="2"/>
      <c r="S39" s="2"/>
      <c r="T39" s="2"/>
    </row>
    <row r="40">
      <c r="A40" s="2"/>
      <c r="B40" s="2"/>
      <c r="C40" s="2"/>
      <c r="D40" s="2"/>
      <c r="E40" s="2"/>
      <c r="F40" s="2"/>
      <c r="G40" s="2"/>
      <c r="H40" s="2"/>
      <c r="I40" s="2"/>
      <c r="J40" s="2"/>
      <c r="K40" s="2"/>
      <c r="L40" s="2"/>
      <c r="M40" s="2"/>
      <c r="N40" s="2"/>
      <c r="O40" s="2"/>
      <c r="P40" s="2"/>
      <c r="Q40" s="2"/>
      <c r="R40" s="2"/>
      <c r="S40" s="2"/>
      <c r="T40" s="2"/>
    </row>
    <row r="41">
      <c r="A41" s="2"/>
      <c r="B41" s="2"/>
      <c r="C41" s="2"/>
      <c r="D41" s="2"/>
      <c r="E41" s="2"/>
      <c r="F41" s="2"/>
      <c r="G41" s="2"/>
      <c r="H41" s="2"/>
      <c r="I41" s="2"/>
      <c r="J41" s="2"/>
      <c r="K41" s="2"/>
      <c r="L41" s="2"/>
      <c r="M41" s="2"/>
      <c r="N41" s="2"/>
      <c r="O41" s="2"/>
      <c r="P41" s="2"/>
      <c r="Q41" s="2"/>
      <c r="R41" s="2"/>
      <c r="S41" s="2"/>
      <c r="T41" s="2"/>
    </row>
    <row r="42">
      <c r="A42" s="2"/>
      <c r="B42" s="2"/>
      <c r="C42" s="2"/>
      <c r="D42" s="2"/>
      <c r="E42" s="2"/>
      <c r="F42" s="2"/>
      <c r="G42" s="2"/>
      <c r="H42" s="2"/>
      <c r="I42" s="2"/>
      <c r="J42" s="2"/>
      <c r="K42" s="2"/>
      <c r="L42" s="2"/>
      <c r="M42" s="2"/>
      <c r="N42" s="2"/>
      <c r="O42" s="2"/>
      <c r="P42" s="2"/>
      <c r="Q42" s="2"/>
      <c r="R42" s="2"/>
      <c r="S42" s="2"/>
      <c r="T42" s="2"/>
    </row>
    <row r="43">
      <c r="A43" s="2"/>
      <c r="B43" s="2"/>
      <c r="C43" s="2"/>
      <c r="D43" s="2"/>
      <c r="E43" s="2"/>
      <c r="F43" s="2"/>
      <c r="G43" s="2"/>
      <c r="H43" s="2"/>
      <c r="I43" s="2"/>
      <c r="J43" s="2"/>
      <c r="K43" s="2"/>
      <c r="L43" s="2"/>
      <c r="M43" s="2"/>
      <c r="N43" s="2"/>
      <c r="O43" s="2"/>
      <c r="P43" s="2"/>
      <c r="Q43" s="2"/>
      <c r="R43" s="2"/>
      <c r="S43" s="2"/>
      <c r="T43" s="2"/>
    </row>
    <row r="44">
      <c r="A44" s="2"/>
      <c r="B44" s="2"/>
      <c r="C44" s="2"/>
      <c r="D44" s="2"/>
      <c r="E44" s="2"/>
      <c r="F44" s="2"/>
      <c r="G44" s="2"/>
      <c r="H44" s="2"/>
      <c r="I44" s="2"/>
      <c r="J44" s="2"/>
      <c r="K44" s="2"/>
      <c r="L44" s="2"/>
      <c r="M44" s="2"/>
      <c r="N44" s="2"/>
      <c r="O44" s="2"/>
      <c r="P44" s="2"/>
      <c r="Q44" s="2"/>
      <c r="R44" s="2"/>
      <c r="S44" s="2"/>
      <c r="T44" s="2"/>
    </row>
    <row r="45">
      <c r="A45" s="2"/>
      <c r="B45" s="2"/>
      <c r="C45" s="2"/>
      <c r="D45" s="2"/>
      <c r="E45" s="2"/>
      <c r="F45" s="2"/>
      <c r="G45" s="2"/>
      <c r="H45" s="2"/>
      <c r="I45" s="2"/>
      <c r="J45" s="2"/>
      <c r="K45" s="2"/>
      <c r="L45" s="2"/>
      <c r="M45" s="2"/>
      <c r="N45" s="2"/>
      <c r="O45" s="2"/>
      <c r="P45" s="2"/>
      <c r="Q45" s="2"/>
      <c r="R45" s="2"/>
      <c r="S45" s="2"/>
      <c r="T45" s="2"/>
    </row>
    <row r="46">
      <c r="A46" s="2"/>
      <c r="B46" s="2"/>
      <c r="C46" s="2"/>
      <c r="D46" s="2"/>
      <c r="E46" s="2"/>
      <c r="F46" s="2"/>
      <c r="G46" s="2"/>
      <c r="H46" s="2"/>
      <c r="I46" s="2"/>
      <c r="J46" s="2"/>
      <c r="K46" s="2"/>
      <c r="L46" s="2"/>
      <c r="M46" s="2"/>
      <c r="N46" s="2"/>
      <c r="O46" s="2"/>
      <c r="P46" s="2"/>
      <c r="Q46" s="2"/>
      <c r="R46" s="2"/>
      <c r="S46" s="2"/>
      <c r="T46" s="2"/>
    </row>
    <row r="47">
      <c r="A47" s="2"/>
      <c r="B47" s="2"/>
      <c r="C47" s="2"/>
      <c r="D47" s="2"/>
      <c r="E47" s="2"/>
      <c r="F47" s="2"/>
      <c r="G47" s="2"/>
      <c r="H47" s="2"/>
      <c r="I47" s="2"/>
      <c r="J47" s="2"/>
      <c r="K47" s="2"/>
      <c r="L47" s="2"/>
      <c r="M47" s="2"/>
      <c r="N47" s="2"/>
      <c r="O47" s="2"/>
      <c r="P47" s="2"/>
      <c r="Q47" s="2"/>
      <c r="R47" s="2"/>
      <c r="S47" s="2"/>
      <c r="T47" s="2"/>
    </row>
    <row r="48">
      <c r="A48" s="2"/>
      <c r="B48" s="2"/>
      <c r="C48" s="2"/>
      <c r="D48" s="2"/>
      <c r="E48" s="2"/>
      <c r="F48" s="2"/>
      <c r="G48" s="2"/>
      <c r="H48" s="2"/>
      <c r="I48" s="2"/>
      <c r="J48" s="2"/>
      <c r="K48" s="2"/>
      <c r="L48" s="2"/>
      <c r="M48" s="2"/>
      <c r="N48" s="2"/>
      <c r="O48" s="2"/>
      <c r="P48" s="2"/>
      <c r="Q48" s="2"/>
      <c r="R48" s="2"/>
      <c r="S48" s="2"/>
      <c r="T48" s="2"/>
    </row>
    <row r="49">
      <c r="A49" s="2"/>
      <c r="B49" s="2"/>
      <c r="C49" s="2"/>
      <c r="D49" s="2"/>
      <c r="E49" s="2"/>
      <c r="F49" s="2"/>
      <c r="G49" s="2"/>
      <c r="H49" s="2"/>
      <c r="I49" s="2"/>
      <c r="J49" s="2"/>
      <c r="K49" s="2"/>
      <c r="L49" s="2"/>
      <c r="M49" s="2"/>
      <c r="N49" s="2"/>
      <c r="O49" s="2"/>
      <c r="P49" s="2"/>
      <c r="Q49" s="2"/>
      <c r="R49" s="2"/>
      <c r="S49" s="2"/>
      <c r="T49" s="2"/>
    </row>
    <row r="50">
      <c r="A50" s="2"/>
      <c r="B50" s="2"/>
      <c r="C50" s="2"/>
      <c r="D50" s="2"/>
      <c r="E50" s="2"/>
      <c r="F50" s="2"/>
      <c r="G50" s="2"/>
      <c r="H50" s="2"/>
      <c r="I50" s="2"/>
      <c r="J50" s="2"/>
      <c r="K50" s="2"/>
      <c r="L50" s="2"/>
      <c r="M50" s="2"/>
      <c r="N50" s="2"/>
      <c r="O50" s="2"/>
      <c r="P50" s="2"/>
      <c r="Q50" s="2"/>
      <c r="R50" s="2"/>
      <c r="S50" s="2"/>
      <c r="T50" s="2"/>
    </row>
    <row r="51">
      <c r="A51" s="2"/>
      <c r="B51" s="2"/>
      <c r="C51" s="2"/>
      <c r="D51" s="2"/>
      <c r="E51" s="2"/>
      <c r="F51" s="2"/>
      <c r="G51" s="2"/>
      <c r="H51" s="2"/>
      <c r="I51" s="2"/>
      <c r="J51" s="2"/>
      <c r="K51" s="2"/>
      <c r="L51" s="2"/>
      <c r="M51" s="2"/>
      <c r="N51" s="2"/>
      <c r="O51" s="2"/>
      <c r="P51" s="2"/>
      <c r="Q51" s="2"/>
      <c r="R51" s="2"/>
      <c r="S51" s="2"/>
      <c r="T51" s="2"/>
    </row>
    <row r="52">
      <c r="A52" s="2"/>
      <c r="B52" s="2"/>
      <c r="C52" s="2"/>
      <c r="D52" s="2"/>
      <c r="E52" s="2"/>
      <c r="F52" s="2"/>
      <c r="G52" s="2"/>
      <c r="H52" s="2"/>
      <c r="I52" s="2"/>
      <c r="J52" s="2"/>
      <c r="K52" s="2"/>
      <c r="L52" s="2"/>
      <c r="M52" s="2"/>
      <c r="N52" s="2"/>
      <c r="O52" s="2"/>
      <c r="P52" s="2"/>
      <c r="Q52" s="2"/>
      <c r="R52" s="2"/>
      <c r="S52" s="2"/>
      <c r="T52" s="2"/>
    </row>
    <row r="53">
      <c r="A53" s="2"/>
      <c r="B53" s="2"/>
      <c r="C53" s="2"/>
      <c r="D53" s="2"/>
      <c r="E53" s="2"/>
      <c r="F53" s="2"/>
      <c r="G53" s="2"/>
      <c r="H53" s="2"/>
      <c r="I53" s="2"/>
      <c r="J53" s="2"/>
      <c r="K53" s="2"/>
      <c r="L53" s="2"/>
      <c r="M53" s="2"/>
      <c r="N53" s="2"/>
      <c r="O53" s="2"/>
      <c r="P53" s="2"/>
      <c r="Q53" s="2"/>
      <c r="R53" s="2"/>
      <c r="S53" s="2"/>
      <c r="T53" s="2"/>
    </row>
    <row r="54">
      <c r="A54" s="2"/>
      <c r="B54" s="2"/>
      <c r="C54" s="2"/>
      <c r="D54" s="2"/>
      <c r="E54" s="2"/>
      <c r="F54" s="2"/>
      <c r="G54" s="2"/>
      <c r="H54" s="2"/>
      <c r="I54" s="2"/>
      <c r="J54" s="2"/>
      <c r="K54" s="2"/>
      <c r="L54" s="2"/>
      <c r="M54" s="2"/>
      <c r="N54" s="2"/>
      <c r="O54" s="2"/>
      <c r="P54" s="2"/>
      <c r="Q54" s="2"/>
      <c r="R54" s="2"/>
      <c r="S54" s="2"/>
      <c r="T54" s="2"/>
    </row>
    <row r="55">
      <c r="A55" s="2"/>
      <c r="B55" s="2"/>
      <c r="C55" s="2"/>
      <c r="D55" s="2"/>
      <c r="E55" s="2"/>
      <c r="F55" s="2"/>
      <c r="G55" s="2"/>
      <c r="H55" s="2"/>
      <c r="I55" s="2"/>
      <c r="J55" s="2"/>
      <c r="K55" s="2"/>
      <c r="L55" s="2"/>
      <c r="M55" s="2"/>
      <c r="N55" s="2"/>
      <c r="O55" s="2"/>
      <c r="P55" s="2"/>
      <c r="Q55" s="2"/>
      <c r="R55" s="2"/>
      <c r="S55" s="2"/>
      <c r="T55" s="2"/>
    </row>
    <row r="56">
      <c r="A56" s="2"/>
      <c r="B56" s="2"/>
      <c r="C56" s="2"/>
      <c r="D56" s="2"/>
      <c r="E56" s="2"/>
      <c r="F56" s="2"/>
      <c r="G56" s="2"/>
      <c r="H56" s="2"/>
      <c r="I56" s="2"/>
      <c r="J56" s="2"/>
      <c r="K56" s="2"/>
      <c r="L56" s="2"/>
      <c r="M56" s="2"/>
      <c r="N56" s="2"/>
      <c r="O56" s="2"/>
      <c r="P56" s="2"/>
      <c r="Q56" s="2"/>
      <c r="R56" s="2"/>
      <c r="S56" s="2"/>
      <c r="T56" s="2"/>
    </row>
    <row r="57">
      <c r="A57" s="2"/>
      <c r="B57" s="2"/>
      <c r="C57" s="2"/>
      <c r="D57" s="2"/>
      <c r="E57" s="2"/>
      <c r="F57" s="2"/>
      <c r="G57" s="2"/>
      <c r="H57" s="2"/>
      <c r="I57" s="2"/>
      <c r="J57" s="2"/>
      <c r="K57" s="2"/>
      <c r="L57" s="2"/>
      <c r="M57" s="2"/>
      <c r="N57" s="2"/>
      <c r="O57" s="2"/>
      <c r="P57" s="2"/>
      <c r="Q57" s="2"/>
      <c r="R57" s="2"/>
      <c r="S57" s="2"/>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sheetData>
  <mergeCells count="2">
    <mergeCell ref="A34:H34"/>
    <mergeCell ref="L34:S3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7.88"/>
    <col customWidth="1" min="3" max="3" width="14.13"/>
    <col customWidth="1" min="4" max="4" width="16.13"/>
    <col customWidth="1" min="5" max="5" width="14.13"/>
    <col customWidth="1" min="7" max="7" width="16.13"/>
  </cols>
  <sheetData>
    <row r="1" ht="22.5" customHeight="1">
      <c r="A1" s="9" t="s">
        <v>61</v>
      </c>
      <c r="B1" s="9" t="s">
        <v>62</v>
      </c>
      <c r="C1" s="9" t="s">
        <v>47</v>
      </c>
      <c r="D1" s="9" t="s">
        <v>49</v>
      </c>
      <c r="E1" s="9" t="s">
        <v>37</v>
      </c>
      <c r="F1" s="9" t="s">
        <v>44</v>
      </c>
      <c r="G1" s="9" t="s">
        <v>48</v>
      </c>
      <c r="H1" s="9" t="s">
        <v>51</v>
      </c>
    </row>
    <row r="2" ht="22.5" customHeight="1">
      <c r="A2" s="11" t="s">
        <v>63</v>
      </c>
      <c r="B2" s="17">
        <v>1.0</v>
      </c>
      <c r="C2" s="22">
        <f>Assumptions!$B$6</f>
        <v>0.9</v>
      </c>
      <c r="D2" s="22">
        <f>Assumptions!$B$7</f>
        <v>0.95</v>
      </c>
      <c r="E2" s="23">
        <f>Model!$I$2*$B2*$C2/Assumptions!$B$6*$D2/Assumptions!$B$7</f>
        <v>1.59291</v>
      </c>
      <c r="F2" s="23">
        <f>Model!$I$3*$B2*$C2/Assumptions!$B$6*$D2/Assumptions!$B$7</f>
        <v>4.6459875</v>
      </c>
      <c r="G2" s="23">
        <f>Model!$I$4*$B2*$C2/Assumptions!$B$6*$D2/Assumptions!$B$7</f>
        <v>10.2211725</v>
      </c>
      <c r="H2" s="23">
        <f>Model!$I$5*$B2*$C2/Assumptions!$B$6*$D2/Assumptions!$B$7</f>
        <v>6.70349625</v>
      </c>
    </row>
    <row r="3" ht="22.5" customHeight="1">
      <c r="A3" s="11" t="s">
        <v>64</v>
      </c>
      <c r="B3" s="17">
        <v>0.7</v>
      </c>
      <c r="C3" s="22">
        <f>Assumptions!$B$6</f>
        <v>0.9</v>
      </c>
      <c r="D3" s="22">
        <f>Assumptions!$B$7</f>
        <v>0.95</v>
      </c>
      <c r="E3" s="23">
        <f>Model!$I$2*$B3*$C3/Assumptions!$B$6*$D3/Assumptions!$B$7</f>
        <v>1.115037</v>
      </c>
      <c r="F3" s="23">
        <f>Model!$I$3*$B3*$C3/Assumptions!$B$6*$D3/Assumptions!$B$7</f>
        <v>3.25219125</v>
      </c>
      <c r="G3" s="23">
        <f>Model!$I$4*$B3*$C3/Assumptions!$B$6*$D3/Assumptions!$B$7</f>
        <v>7.15482075</v>
      </c>
      <c r="H3" s="23">
        <f>Model!$I$5*$B3*$C3/Assumptions!$B$6*$D3/Assumptions!$B$7</f>
        <v>4.692447375</v>
      </c>
    </row>
    <row r="4" ht="22.5" customHeight="1">
      <c r="A4" s="11" t="s">
        <v>65</v>
      </c>
      <c r="B4" s="17">
        <v>1.0</v>
      </c>
      <c r="C4" s="17">
        <v>0.7</v>
      </c>
      <c r="D4" s="22">
        <f>Assumptions!$B$7</f>
        <v>0.95</v>
      </c>
      <c r="E4" s="23">
        <f>Model!$I$2*$B4*$C4/Assumptions!$B$6*$D4/Assumptions!$B$7</f>
        <v>1.23893</v>
      </c>
      <c r="F4" s="23">
        <f>Model!$I$3*$B4*$C4/Assumptions!$B$6*$D4/Assumptions!$B$7</f>
        <v>3.613545833</v>
      </c>
      <c r="G4" s="23">
        <f>Model!$I$4*$B4*$C4/Assumptions!$B$6*$D4/Assumptions!$B$7</f>
        <v>7.949800833</v>
      </c>
      <c r="H4" s="23">
        <f>Model!$I$5*$B4*$C4/Assumptions!$B$6*$D4/Assumptions!$B$7</f>
        <v>5.213830417</v>
      </c>
    </row>
    <row r="5" ht="22.5" customHeight="1">
      <c r="A5" s="11" t="s">
        <v>66</v>
      </c>
      <c r="B5" s="17">
        <v>1.0</v>
      </c>
      <c r="C5" s="22">
        <f>Assumptions!$B$6</f>
        <v>0.9</v>
      </c>
      <c r="D5" s="17">
        <v>0.8</v>
      </c>
      <c r="E5" s="23">
        <f>Model!$I$2*$B5*$C5/Assumptions!$B$6*$D5/Assumptions!$B$7</f>
        <v>1.341397895</v>
      </c>
      <c r="F5" s="23">
        <f>Model!$I$3*$B5*$C5/Assumptions!$B$6*$D5/Assumptions!$B$7</f>
        <v>3.912410526</v>
      </c>
      <c r="G5" s="23">
        <f>Model!$I$4*$B5*$C5/Assumptions!$B$6*$D5/Assumptions!$B$7</f>
        <v>8.607303158</v>
      </c>
      <c r="H5" s="23">
        <f>Model!$I$5*$B5*$C5/Assumptions!$B$6*$D5/Assumptions!$B$7</f>
        <v>5.645049474</v>
      </c>
    </row>
    <row r="7">
      <c r="A7" s="24" t="s">
        <v>67</v>
      </c>
    </row>
    <row r="10" ht="22.5" customHeight="1">
      <c r="A10" s="25" t="s">
        <v>68</v>
      </c>
      <c r="B10" s="25" t="s">
        <v>69</v>
      </c>
      <c r="C10" s="25" t="s">
        <v>70</v>
      </c>
      <c r="D10" s="25" t="s">
        <v>71</v>
      </c>
      <c r="E10" s="25" t="s">
        <v>72</v>
      </c>
    </row>
    <row r="11" ht="22.5" customHeight="1">
      <c r="A11" s="26" t="str">
        <f>Scenarios!A2</f>
        <v>A - Baseline</v>
      </c>
      <c r="B11" s="26">
        <f>Retention!E32</f>
        <v>7.662387376</v>
      </c>
      <c r="C11" s="26">
        <f>Retention!P32</f>
        <v>7.662387376</v>
      </c>
      <c r="D11" s="26">
        <f t="shared" ref="D11:D14" si="1">B11-C11</f>
        <v>0</v>
      </c>
      <c r="E11" s="26">
        <f t="shared" ref="E11:E14" si="2">D11/B11</f>
        <v>0</v>
      </c>
    </row>
    <row r="12" ht="22.5" customHeight="1">
      <c r="A12" s="26" t="str">
        <f>Scenarios!A3</f>
        <v>B - Light</v>
      </c>
      <c r="B12" s="26">
        <f>Retention!F32</f>
        <v>22.34862985</v>
      </c>
      <c r="C12" s="26">
        <f>Retention!Q32</f>
        <v>21.17585645</v>
      </c>
      <c r="D12" s="26">
        <f t="shared" si="1"/>
        <v>1.172773402</v>
      </c>
      <c r="E12" s="26">
        <f t="shared" si="2"/>
        <v>0.05247629988</v>
      </c>
    </row>
    <row r="13" ht="22.5" customHeight="1">
      <c r="A13" s="26" t="str">
        <f>Scenarios!A4</f>
        <v>C - Aggressive</v>
      </c>
      <c r="B13" s="26">
        <f>Retention!G32</f>
        <v>49.16698566</v>
      </c>
      <c r="C13" s="26">
        <f>Retention!R32</f>
        <v>40.77955494</v>
      </c>
      <c r="D13" s="26">
        <f t="shared" si="1"/>
        <v>8.38743072</v>
      </c>
      <c r="E13" s="26">
        <f t="shared" si="2"/>
        <v>0.1705907045</v>
      </c>
    </row>
    <row r="14" ht="22.5" customHeight="1">
      <c r="A14" s="26" t="str">
        <f>Scenarios!A5</f>
        <v>D - Mixed</v>
      </c>
      <c r="B14" s="26">
        <f>Retention!H32</f>
        <v>32.24588021</v>
      </c>
      <c r="C14" s="26">
        <f>Retention!S32</f>
        <v>29.09786697</v>
      </c>
      <c r="D14" s="26">
        <f t="shared" si="1"/>
        <v>3.148013243</v>
      </c>
      <c r="E14" s="26">
        <f t="shared" si="2"/>
        <v>0.09762528492</v>
      </c>
    </row>
    <row r="16">
      <c r="A16" s="24" t="s">
        <v>73</v>
      </c>
    </row>
    <row r="19" ht="22.5" customHeight="1">
      <c r="A19" s="25" t="s">
        <v>74</v>
      </c>
      <c r="B19" s="25" t="s">
        <v>37</v>
      </c>
      <c r="C19" s="25" t="s">
        <v>44</v>
      </c>
      <c r="D19" s="25" t="s">
        <v>48</v>
      </c>
      <c r="E19" s="25" t="s">
        <v>51</v>
      </c>
    </row>
    <row r="20" ht="22.5" customHeight="1">
      <c r="A20" s="27" t="s">
        <v>75</v>
      </c>
      <c r="B20" s="26">
        <f>Retention!E32</f>
        <v>7.662387376</v>
      </c>
      <c r="C20" s="26">
        <f>Retention!F32</f>
        <v>22.34862985</v>
      </c>
      <c r="D20" s="26">
        <f>Retention!G32</f>
        <v>49.16698566</v>
      </c>
      <c r="E20" s="26">
        <f>Retention!H32</f>
        <v>32.24588021</v>
      </c>
    </row>
    <row r="21" ht="22.5" customHeight="1">
      <c r="A21" s="27" t="s">
        <v>76</v>
      </c>
      <c r="B21" s="26">
        <f>Retention!P32</f>
        <v>7.662387376</v>
      </c>
      <c r="C21" s="26">
        <f>Retention!Q32</f>
        <v>21.17585645</v>
      </c>
      <c r="D21" s="26">
        <f>Retention!R32</f>
        <v>40.77955494</v>
      </c>
      <c r="E21" s="26">
        <f>Retention!S32</f>
        <v>29.09786697</v>
      </c>
    </row>
    <row r="22" ht="22.5" customHeight="1">
      <c r="A22" s="27" t="s">
        <v>77</v>
      </c>
      <c r="B22" s="26">
        <f>Retention!U32</f>
        <v>7.662387376</v>
      </c>
      <c r="C22" s="26">
        <f>Retention!V32</f>
        <v>20.16683849</v>
      </c>
      <c r="D22" s="26">
        <f>Retention!W32</f>
        <v>35.90735061</v>
      </c>
      <c r="E22" s="26">
        <f>Retention!X32</f>
        <v>26.74503279</v>
      </c>
    </row>
    <row r="24">
      <c r="A24" s="24" t="s">
        <v>78</v>
      </c>
    </row>
    <row r="26">
      <c r="G26" s="24" t="s">
        <v>79</v>
      </c>
    </row>
  </sheetData>
  <mergeCells count="4">
    <mergeCell ref="A7:H7"/>
    <mergeCell ref="A16:E16"/>
    <mergeCell ref="A24:E24"/>
    <mergeCell ref="G26:K26"/>
  </mergeCells>
  <dataValidations>
    <dataValidation type="custom" allowBlank="1" showDropDown="1" sqref="B2:D5">
      <formula1>AND(ISNUMBER(B2),(NOT(OR(NOT(ISERROR(DATEVALUE(B2))), AND(ISNUMBER(B2), LEFT(CELL("format", B2))="D")))))</formula1>
    </dataValidation>
  </dataValidation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9.0"/>
    <col customWidth="1" min="3" max="3" width="16.75"/>
    <col customWidth="1" min="4" max="4" width="22.75"/>
    <col customWidth="1" min="5" max="5" width="25.5"/>
    <col customWidth="1" min="6" max="6" width="26.75"/>
  </cols>
  <sheetData>
    <row r="1" ht="22.5" customHeight="1">
      <c r="A1" s="20" t="s">
        <v>54</v>
      </c>
      <c r="B1" s="20" t="s">
        <v>55</v>
      </c>
      <c r="C1" s="20" t="s">
        <v>57</v>
      </c>
      <c r="D1" s="20" t="s">
        <v>58</v>
      </c>
      <c r="E1" s="20" t="s">
        <v>59</v>
      </c>
      <c r="F1" s="20" t="s">
        <v>60</v>
      </c>
    </row>
    <row r="2" ht="22.5" customHeight="1">
      <c r="A2" s="21" t="str">
        <f>Scenarios!A2</f>
        <v>A - Baseline</v>
      </c>
      <c r="B2" s="21">
        <f>Model!I2</f>
        <v>1.59291</v>
      </c>
      <c r="C2" s="21">
        <f>Model!J2</f>
        <v>0.003152141853</v>
      </c>
      <c r="D2" s="21">
        <f>Retention!E32</f>
        <v>7.662387376</v>
      </c>
      <c r="E2" s="21">
        <f>Retention!P32</f>
        <v>7.662387376</v>
      </c>
      <c r="F2" s="21">
        <f>Retention!U32</f>
        <v>7.662387376</v>
      </c>
    </row>
    <row r="3" ht="22.5" customHeight="1">
      <c r="A3" s="21" t="str">
        <f>Scenarios!A3</f>
        <v>B - Light</v>
      </c>
      <c r="B3" s="21">
        <f>Model!I3</f>
        <v>4.6459875</v>
      </c>
      <c r="C3" s="21">
        <f>Model!J3</f>
        <v>0.009193747071</v>
      </c>
      <c r="D3" s="21">
        <f>Retention!F32</f>
        <v>22.34862985</v>
      </c>
      <c r="E3" s="21">
        <f>Retention!Q32</f>
        <v>21.17585645</v>
      </c>
      <c r="F3" s="21">
        <f>Retention!V32</f>
        <v>20.16683849</v>
      </c>
    </row>
    <row r="4" ht="22.5" customHeight="1">
      <c r="A4" s="21" t="str">
        <f>Scenarios!A4</f>
        <v>C - Aggressive</v>
      </c>
      <c r="B4" s="21">
        <f>Model!I4</f>
        <v>10.2211725</v>
      </c>
      <c r="C4" s="21">
        <f>Model!J4</f>
        <v>0.02022624356</v>
      </c>
      <c r="D4" s="21">
        <f>Retention!G32</f>
        <v>49.16698566</v>
      </c>
      <c r="E4" s="21">
        <f>Retention!R32</f>
        <v>40.77955494</v>
      </c>
      <c r="F4" s="21">
        <f>Retention!W32</f>
        <v>35.90735061</v>
      </c>
    </row>
    <row r="5" ht="22.5" customHeight="1">
      <c r="A5" s="21" t="str">
        <f>Scenarios!A5</f>
        <v>D - Mixed</v>
      </c>
      <c r="B5" s="21">
        <f>Model!I5</f>
        <v>6.70349625</v>
      </c>
      <c r="C5" s="21">
        <f>Model!J5</f>
        <v>0.01326526363</v>
      </c>
      <c r="D5" s="21">
        <f>Retention!H32</f>
        <v>32.24588021</v>
      </c>
      <c r="E5" s="21">
        <f>Retention!S32</f>
        <v>29.09786697</v>
      </c>
      <c r="F5" s="21">
        <f>Retention!X32</f>
        <v>26.74503279</v>
      </c>
    </row>
  </sheetData>
  <drawing r:id="rId1"/>
  <tableParts count="1">
    <tablePart r:id="rId3"/>
  </tableParts>
</worksheet>
</file>